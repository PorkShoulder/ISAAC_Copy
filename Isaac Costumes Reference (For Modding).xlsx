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Costumes" sheetId="1" r:id="rId5"/>
    <sheet state="visible" name="glow" sheetId="2" r:id="rId6"/>
    <sheet state="visible" name="body" sheetId="3" r:id="rId7"/>
    <sheet state="visible" name="body0" sheetId="4" r:id="rId8"/>
    <sheet state="visible" name="body1" sheetId="5" r:id="rId9"/>
    <sheet state="visible" name="head" sheetId="6" r:id="rId10"/>
    <sheet state="visible" name="head0" sheetId="7" r:id="rId11"/>
    <sheet state="visible" name="head1" sheetId="8" r:id="rId12"/>
    <sheet state="visible" name="head2" sheetId="9" r:id="rId13"/>
    <sheet state="visible" name="head3" sheetId="10" r:id="rId14"/>
    <sheet state="visible" name="head4" sheetId="11" r:id="rId15"/>
    <sheet state="visible" name="head5" sheetId="12" r:id="rId16"/>
    <sheet state="visible" name="top0" sheetId="13" r:id="rId17"/>
    <sheet state="visible" name="misc" sheetId="14" r:id="rId18"/>
  </sheets>
  <definedNames>
    <definedName hidden="1" localSheetId="0" name="_xlnm._FilterDatabase">'All Costumes'!$A$1:$F$650</definedName>
    <definedName hidden="1" localSheetId="0" name="Z_3DD33D90_292E_4D22_A84B_590EC0FB1241_.wvu.FilterData">'All Costumes'!$A$1:$F$650</definedName>
    <definedName hidden="1" localSheetId="1" name="Z_B07D8034_17A6_4979_AD0A_EDA5D4406C74_.wvu.FilterData">glow!$A$1:$F$27</definedName>
    <definedName hidden="1" localSheetId="2" name="Z_B07D8034_17A6_4979_AD0A_EDA5D4406C74_.wvu.FilterData">body!$A$1:$F$42</definedName>
    <definedName hidden="1" localSheetId="3" name="Z_B07D8034_17A6_4979_AD0A_EDA5D4406C74_.wvu.FilterData">body0!$A$1:$F$42</definedName>
    <definedName hidden="1" localSheetId="4" name="Z_B07D8034_17A6_4979_AD0A_EDA5D4406C74_.wvu.FilterData">body1!$A$1:$F$17</definedName>
    <definedName hidden="1" localSheetId="6" name="Z_B07D8034_17A6_4979_AD0A_EDA5D4406C74_.wvu.FilterData">head0!$A$1:$F$42</definedName>
    <definedName hidden="1" localSheetId="7" name="Z_B07D8034_17A6_4979_AD0A_EDA5D4406C74_.wvu.FilterData">head1!$A$1:$F$42</definedName>
    <definedName hidden="1" localSheetId="8" name="Z_B07D8034_17A6_4979_AD0A_EDA5D4406C74_.wvu.FilterData">head2!$A$1:$F$42</definedName>
    <definedName hidden="1" localSheetId="9" name="Z_B07D8034_17A6_4979_AD0A_EDA5D4406C74_.wvu.FilterData">head3!$A$1:$F$42</definedName>
    <definedName hidden="1" localSheetId="10" name="Z_B07D8034_17A6_4979_AD0A_EDA5D4406C74_.wvu.FilterData">head4!$A$1:$F$42</definedName>
    <definedName hidden="1" localSheetId="11" name="Z_B07D8034_17A6_4979_AD0A_EDA5D4406C74_.wvu.FilterData">head5!$A$1:$F$9</definedName>
    <definedName hidden="1" localSheetId="12" name="Z_B07D8034_17A6_4979_AD0A_EDA5D4406C74_.wvu.FilterData">'top0'!$A$1:$F$24</definedName>
    <definedName hidden="1" localSheetId="13" name="Z_B07D8034_17A6_4979_AD0A_EDA5D4406C74_.wvu.FilterData">misc!$A$1:$F$3</definedName>
  </definedNames>
  <calcPr/>
  <customWorkbookViews>
    <customWorkbookView activeSheetId="0" maximized="1" windowHeight="0" windowWidth="0" guid="{3DD33D90-292E-4D22-A84B-590EC0FB1241}" name="By Priority"/>
    <customWorkbookView activeSheetId="0" maximized="1" windowHeight="0" windowWidth="0" guid="{B07D8034-17A6-4979-AD0A-EDA5D4406C74}" name="Filter 1"/>
  </customWorkbookViews>
</workbook>
</file>

<file path=xl/sharedStrings.xml><?xml version="1.0" encoding="utf-8"?>
<sst xmlns="http://schemas.openxmlformats.org/spreadsheetml/2006/main" count="2046" uniqueCount="520">
  <si>
    <t>ANM2 Name</t>
  </si>
  <si>
    <t>ID</t>
  </si>
  <si>
    <t>Type</t>
  </si>
  <si>
    <t>Priority</t>
  </si>
  <si>
    <t>Layer</t>
  </si>
  <si>
    <t>Image</t>
  </si>
  <si>
    <t>002x_schoolbag.anm2</t>
  </si>
  <si>
    <t/>
  </si>
  <si>
    <t>body</t>
  </si>
  <si>
    <t>What are "Layers"?</t>
  </si>
  <si>
    <t>022x_theintruder2.anm2</t>
  </si>
  <si>
    <t>Costumes for Isaac are applied to specific "layers" in their anm2 files. Each of Isaac's layers can only have one sprite rendered on it at a time. A costume may have pieces on multiple layers (for example, the face, third eye, and flame of "Spoon Bender" are all on seperate layers).</t>
  </si>
  <si>
    <t>blood</t>
  </si>
  <si>
    <r>
      <rPr>
        <rFont val="Arial"/>
        <color theme="1"/>
      </rPr>
      <t xml:space="preserve">From bottom to top: </t>
    </r>
    <r>
      <rPr>
        <rFont val="Arial"/>
        <b/>
        <color theme="1"/>
      </rPr>
      <t>glow &lt; body &lt; body{0..1} &lt; head &lt; head{0..5} &lt; top0 &lt; extra &lt; back</t>
    </r>
  </si>
  <si>
    <t>058x_donkeyjawbone.anm2</t>
  </si>
  <si>
    <t>body0</t>
  </si>
  <si>
    <t>What is "Priority"?</t>
  </si>
  <si>
    <t>508_momsrazor.anm2</t>
  </si>
  <si>
    <t>If the player has multiple costumes that affect the same layer, then whichever costume has the higher priority is the one that is rendered (ties broken by preferring newest costume, I think). Most costumes have the default priority of 0. Costume priorities are defined in costumes2.xml.</t>
  </si>
  <si>
    <t>001_the sad onion.anm2</t>
  </si>
  <si>
    <t>passive</t>
  </si>
  <si>
    <t>head0</t>
  </si>
  <si>
    <t>Can I sort the data in this spreadsheet?</t>
  </si>
  <si>
    <t>n001_puberty.anm2</t>
  </si>
  <si>
    <t>none</t>
  </si>
  <si>
    <t>head3</t>
  </si>
  <si>
    <t>Yes, you just have to go to "Data -&gt; Filter Views -&gt; Create new temporary filter view" to enable client-side filter controls. This won't affect anyone else's view of the spreadsheet.</t>
  </si>
  <si>
    <t>002_the inner eye.anm2</t>
  </si>
  <si>
    <t>head1</t>
  </si>
  <si>
    <t>Check out the other tabs at the bottom to see pre-filtered lists of only specific layers. Please note that the above "Filter View" thing does NOT work properly on the other tabs, due to how they are automatically populated based on THIS sheet. Sorting this sheet affects the others fine, though.</t>
  </si>
  <si>
    <t>n002_i found pills.anm2</t>
  </si>
  <si>
    <t>What is this useful for?</t>
  </si>
  <si>
    <t>003_spoon bender.anm2</t>
  </si>
  <si>
    <t>head</t>
  </si>
  <si>
    <t>If you're making a costume, such as for an item or custom character, it can be useful to refer to what sorts of costumes appear on each layer. In particular, I made this sheet as a reference for myself for making custom character costumes.</t>
  </si>
  <si>
    <t>Why are some of the images blank / duplicated?</t>
  </si>
  <si>
    <t>Some costumes, like "Shoop da Whoop", "GameKid" and "Reverse Chariot" make a point to override (amost) all other costumes while they are active. So they not only have high priority but also take up most layers, even if their sprites on a given layer are either duplicated or just blank, they'll still override anything with a lower priority.</t>
  </si>
  <si>
    <t>263_lordoftheflies.anm2</t>
  </si>
  <si>
    <t>top0</t>
  </si>
  <si>
    <t>004_maxs head.anm2</t>
  </si>
  <si>
    <t>210_gnawedleaf_statue.anm2</t>
  </si>
  <si>
    <t>head2</t>
  </si>
  <si>
    <t>head4</t>
  </si>
  <si>
    <t>head5</t>
  </si>
  <si>
    <t>body1</t>
  </si>
  <si>
    <t>005_my reflection.anm2</t>
  </si>
  <si>
    <t>n005_guppy.anm2</t>
  </si>
  <si>
    <t>006_number one.anm2</t>
  </si>
  <si>
    <t>n006_ruawizard.anm2</t>
  </si>
  <si>
    <t>007_blood of the martyr.anm2</t>
  </si>
  <si>
    <t>character_002_magdalenehead.anm2</t>
  </si>
  <si>
    <t>character_003_cainseyepatch.anm2</t>
  </si>
  <si>
    <t>009_skatole.anm2</t>
  </si>
  <si>
    <t>character_004_judasfez.anm2</t>
  </si>
  <si>
    <t>character_005_evehead.anm2</t>
  </si>
  <si>
    <t>character_009_edenhair1.anm2</t>
  </si>
  <si>
    <t>013_the virus.anm2</t>
  </si>
  <si>
    <t>character_007_samsonhead.anm2</t>
  </si>
  <si>
    <t>014_roid rage.anm2</t>
  </si>
  <si>
    <t>n014_blindfold.anm2</t>
  </si>
  <si>
    <t>015_3.anm2</t>
  </si>
  <si>
    <t>n015_blank.anm2</t>
  </si>
  <si>
    <t>016_raw liver.anm2</t>
  </si>
  <si>
    <t>n016_christmas.anm2</t>
  </si>
  <si>
    <t>017_skeleton key.anm2</t>
  </si>
  <si>
    <t>n017_purity glow.anm2</t>
  </si>
  <si>
    <t>glow</t>
  </si>
  <si>
    <t>n018_empty vessel.anm2</t>
  </si>
  <si>
    <t>019_boom.anm2</t>
  </si>
  <si>
    <t>n019_mawmark.anm2</t>
  </si>
  <si>
    <t>020_transcendence.anm2</t>
  </si>
  <si>
    <t>n020_transformation mushroom.anm2</t>
  </si>
  <si>
    <t>n021_transformation_angel.anm2</t>
  </si>
  <si>
    <t>n022_transformation_bob.anm2</t>
  </si>
  <si>
    <t>n023_transformation_drugs.anm2</t>
  </si>
  <si>
    <t>n024_transformation_mom.anm2</t>
  </si>
  <si>
    <t>n025_transformation_baby.anm2</t>
  </si>
  <si>
    <t>n026_transformation_evilangel.anm2</t>
  </si>
  <si>
    <t>027_wooden spoon.anm2</t>
  </si>
  <si>
    <t>n027_transformation_poop.anm2</t>
  </si>
  <si>
    <t>028_the belt.anm2</t>
  </si>
  <si>
    <t>029_moms underwear.anm2</t>
  </si>
  <si>
    <t>n029_overdose.anm2</t>
  </si>
  <si>
    <t>030_moms heels.anm2</t>
  </si>
  <si>
    <t>n030_boomerang.anm2</t>
  </si>
  <si>
    <t>031_moms lipstick.anm2</t>
  </si>
  <si>
    <t>n031_megablast.anm2</t>
  </si>
  <si>
    <t>032_wire coat hanger.anm2</t>
  </si>
  <si>
    <t>character_lazarushair1.anm2</t>
  </si>
  <si>
    <t>character_lazarushair2.anm2</t>
  </si>
  <si>
    <t>034_the book of belial.anm2</t>
  </si>
  <si>
    <t>active</t>
  </si>
  <si>
    <t>character_lilithhair.anm2</t>
  </si>
  <si>
    <t>n028_transformation_iwata.anm2</t>
  </si>
  <si>
    <t>character_015_apollyonbody.anm2</t>
  </si>
  <si>
    <t>n032_transformation_bookworm.anm2</t>
  </si>
  <si>
    <t>n033_transformation_adulthood.anm2</t>
  </si>
  <si>
    <t>039_moms bra.anm2</t>
  </si>
  <si>
    <t>n034_transformation_spiderbaby.anm2</t>
  </si>
  <si>
    <t>040_kamikaze.anm2</t>
  </si>
  <si>
    <t>126_razor blade.anm2</t>
  </si>
  <si>
    <t>trinket</t>
  </si>
  <si>
    <t>t118_batwing.anm2</t>
  </si>
  <si>
    <t>n043_sacrificial altar.anm2</t>
  </si>
  <si>
    <t>character_016_theforgottenbody.anm2</t>
  </si>
  <si>
    <t>n045_brimstone2.anm2</t>
  </si>
  <si>
    <t>046_lucky foot.anm2</t>
  </si>
  <si>
    <t>character_014_keepernoose.anm2</t>
  </si>
  <si>
    <t>048_cupids arrow.anm2</t>
  </si>
  <si>
    <t>049_shoop da whoop.anm2</t>
  </si>
  <si>
    <t>050_steven.anm2</t>
  </si>
  <si>
    <t>051_pentagram.anm2</t>
  </si>
  <si>
    <t>character_001x_bethanyhead.anm2</t>
  </si>
  <si>
    <t>052_dr fetus.anm2</t>
  </si>
  <si>
    <t>character_002x_jacobhead.anm2</t>
  </si>
  <si>
    <t>053_magneto.anm2</t>
  </si>
  <si>
    <t>character_003x_esauhead.anm2</t>
  </si>
  <si>
    <t>t53_tick.anm2</t>
  </si>
  <si>
    <t>016x_bloodoath.anm2</t>
  </si>
  <si>
    <t>055_moms eye.anm2</t>
  </si>
  <si>
    <t>035x_sol2.anm2</t>
  </si>
  <si>
    <t>007x_ithurts2.anm2</t>
  </si>
  <si>
    <t>040x_mars_steam.anm2</t>
  </si>
  <si>
    <t>058_book of shadows.anm2</t>
  </si>
  <si>
    <t>663_toothandnail_statue.anm2</t>
  </si>
  <si>
    <t>062_charm of the vampire.anm2</t>
  </si>
  <si>
    <t>n_reverse_empress.anm2</t>
  </si>
  <si>
    <t>063_the battery.anm2</t>
  </si>
  <si>
    <t>n_reverse_chariot.anm2</t>
  </si>
  <si>
    <t>064_steam sale.anm2</t>
  </si>
  <si>
    <t>n_reverse_hanged_man.anm2</t>
  </si>
  <si>
    <t>068_technology.anm2</t>
  </si>
  <si>
    <t>n_reverse_chariot_alt.anm2</t>
  </si>
  <si>
    <t>069_chocolate milk.anm2</t>
  </si>
  <si>
    <t>070_growth hormones.anm2</t>
  </si>
  <si>
    <t>029x_wavycap1.anm2</t>
  </si>
  <si>
    <t>029x_wavycap2.anm2</t>
  </si>
  <si>
    <t>072_rosary.anm2</t>
  </si>
  <si>
    <t>029x_wavycap3.anm2</t>
  </si>
  <si>
    <t>036x_luna2.anm2</t>
  </si>
  <si>
    <t>075_phd.anm2</t>
  </si>
  <si>
    <t>n_jupiter_body.anm2</t>
  </si>
  <si>
    <t>076_xray-vision.anm2</t>
  </si>
  <si>
    <t>n_jupiter_body_angel.anm2</t>
  </si>
  <si>
    <t>077_my little unicorn.anm2</t>
  </si>
  <si>
    <t>n_jupiter_body_pony.anm2</t>
  </si>
  <si>
    <t>n_jupiter_body_whitepony.anm2</t>
  </si>
  <si>
    <t>079_the mark.anm2</t>
  </si>
  <si>
    <t>character_b01_isaac.anm2</t>
  </si>
  <si>
    <t>080_the pact.anm2</t>
  </si>
  <si>
    <t>character_b02_magdalene.anm2</t>
  </si>
  <si>
    <t>character_b03_cain.anm2</t>
  </si>
  <si>
    <t>082_lord of the pit.anm2</t>
  </si>
  <si>
    <t>character_b04_judas.anm2</t>
  </si>
  <si>
    <t>083_the nail.anm2</t>
  </si>
  <si>
    <t>character_b05_bluebaby.anm2</t>
  </si>
  <si>
    <t>character_b06_eve.anm2</t>
  </si>
  <si>
    <t>character_b07_samson.anm2</t>
  </si>
  <si>
    <t>086_monstrostooth.anm2</t>
  </si>
  <si>
    <t>character_b08_azazel.anm2</t>
  </si>
  <si>
    <t>087_lokis horns.anm2</t>
  </si>
  <si>
    <t>character_b09_lazarus.anm2</t>
  </si>
  <si>
    <t>character_b10_eden.anm2</t>
  </si>
  <si>
    <t>089_spider bite.anm2</t>
  </si>
  <si>
    <t>character_b11_thelost.anm2</t>
  </si>
  <si>
    <t>090_the small rock.anm2</t>
  </si>
  <si>
    <t>character_b12_lilith.anm2</t>
  </si>
  <si>
    <t>091_spelunker hat.anm2</t>
  </si>
  <si>
    <t>character_b13_keeper.anm2</t>
  </si>
  <si>
    <t>092_super bandage.anm2</t>
  </si>
  <si>
    <t>character_b14_apollyon.anm2</t>
  </si>
  <si>
    <t>093_the gamekid.anm2</t>
  </si>
  <si>
    <t>character_b15_theforgotten.anm2</t>
  </si>
  <si>
    <t>character_b16_bethany.anm2</t>
  </si>
  <si>
    <t>character_b17_jacob.anm2</t>
  </si>
  <si>
    <t>n_azazelsrage_1.anm2</t>
  </si>
  <si>
    <t>n_azazelsrage_2.anm2</t>
  </si>
  <si>
    <t>n_azazelsrage_3.anm2</t>
  </si>
  <si>
    <t>n_azazelsrage_4.anm2</t>
  </si>
  <si>
    <t>n_esau_jr.anm2</t>
  </si>
  <si>
    <t>101_the halo.anm2</t>
  </si>
  <si>
    <t>n_spiritshackles_ghost.anm2</t>
  </si>
  <si>
    <t>674_spiritshackles.anm2</t>
  </si>
  <si>
    <t>103_the common cold.anm2</t>
  </si>
  <si>
    <t>n_berserk_samson.anm2</t>
  </si>
  <si>
    <t>104_the parasite.anm2</t>
  </si>
  <si>
    <t>character_b09_lazarus2.anm2</t>
  </si>
  <si>
    <t>character_b15_thesoul.anm2</t>
  </si>
  <si>
    <t>106_mr mega.anm2</t>
  </si>
  <si>
    <t>n_forgotten_bomb.anm2</t>
  </si>
  <si>
    <t>108_the wafer.anm2</t>
  </si>
  <si>
    <t>character_b17_jacob2.anm2</t>
  </si>
  <si>
    <t>109_money  power.anm2</t>
  </si>
  <si>
    <t>110_moms contacts.anm2</t>
  </si>
  <si>
    <t>n_bloody_babylon.anm2</t>
  </si>
  <si>
    <t>n_lost_curse.anm2</t>
  </si>
  <si>
    <t>115_ouija board.anm2</t>
  </si>
  <si>
    <t>116_9 volt.anm2</t>
  </si>
  <si>
    <t>117_dead bird.anm2</t>
  </si>
  <si>
    <t>n_hemoptysis.anm2</t>
  </si>
  <si>
    <t>118_brimstone.anm2</t>
  </si>
  <si>
    <t>n_i_found_horse_pills.anm2</t>
  </si>
  <si>
    <t>119_blood bag.anm2</t>
  </si>
  <si>
    <t>n_horse_puberty.anm2</t>
  </si>
  <si>
    <t>122_whore of babylon.anm2</t>
  </si>
  <si>
    <t>n_double_guppyseye.anm2</t>
  </si>
  <si>
    <t>n_double_glasseye.anm2</t>
  </si>
  <si>
    <t>130_pony.anm2</t>
  </si>
  <si>
    <t>132_a lump of coal.anm2</t>
  </si>
  <si>
    <t>134_guppys tail.anm2</t>
  </si>
  <si>
    <t>138_stigmata.anm2</t>
  </si>
  <si>
    <t>139_moms purse.anm2</t>
  </si>
  <si>
    <t>140_bobs curse.anm2</t>
  </si>
  <si>
    <t>141_pageant boy.anm2</t>
  </si>
  <si>
    <t>142_scapular.anm2</t>
  </si>
  <si>
    <t>143_speed ball.anm2</t>
  </si>
  <si>
    <t>148_infestation.anm2</t>
  </si>
  <si>
    <t>149_ipecac.anm2</t>
  </si>
  <si>
    <t>150_tough love.anm2</t>
  </si>
  <si>
    <t>151_the mulligan.anm2</t>
  </si>
  <si>
    <t>152_technology 2.anm2</t>
  </si>
  <si>
    <t>153_mutant spider.anm2</t>
  </si>
  <si>
    <t>154_chemical peel.anm2</t>
  </si>
  <si>
    <t>155_the peeper.anm2</t>
  </si>
  <si>
    <t>familiar</t>
  </si>
  <si>
    <t>156_habit.anm2</t>
  </si>
  <si>
    <t>157_blood lust.anm2</t>
  </si>
  <si>
    <t>159_spirit of the night.anm2</t>
  </si>
  <si>
    <t>161_ankh.anm2</t>
  </si>
  <si>
    <t>162_celtic cross.anm2</t>
  </si>
  <si>
    <t>character_008_azazelhead.anm2</t>
  </si>
  <si>
    <t>165_cat-o-nine-tails.anm2</t>
  </si>
  <si>
    <t>168_epic fetus.anm2</t>
  </si>
  <si>
    <t>169_polyphemus.anm2</t>
  </si>
  <si>
    <t>173_mitre.anm2</t>
  </si>
  <si>
    <t>176_stem cells.anm2</t>
  </si>
  <si>
    <t>181_white pony.anm2</t>
  </si>
  <si>
    <t>182_sacred heart.anm2</t>
  </si>
  <si>
    <t>183_tooth picks.anm2</t>
  </si>
  <si>
    <t>184_holy grail.anm2</t>
  </si>
  <si>
    <t>185_dead dove.anm2</t>
  </si>
  <si>
    <t>189_smb super fan.anm2</t>
  </si>
  <si>
    <t>107_pyro.anm2</t>
  </si>
  <si>
    <t>191_3 dollar bill.anm2</t>
  </si>
  <si>
    <t>192_telepathy for dummies.anm2</t>
  </si>
  <si>
    <t>193_meat.anm2</t>
  </si>
  <si>
    <t>194_magic 8 ball.anm2</t>
  </si>
  <si>
    <t>195_moms coin purse.anm2</t>
  </si>
  <si>
    <t>196_squeezy.anm2</t>
  </si>
  <si>
    <t>197_jesus juice.anm2</t>
  </si>
  <si>
    <t>198_box.anm2</t>
  </si>
  <si>
    <t>199_moms key.anm2</t>
  </si>
  <si>
    <t>200_momseyeshadow.anm2</t>
  </si>
  <si>
    <t>201_ironbar.anm2</t>
  </si>
  <si>
    <t>202_midastouch.anm2</t>
  </si>
  <si>
    <t>203_humblingbundle.anm2</t>
  </si>
  <si>
    <t>204_fannypack.anm2</t>
  </si>
  <si>
    <t>205_sharpplug.anm2</t>
  </si>
  <si>
    <t>208_championbelt.anm2</t>
  </si>
  <si>
    <t>209_buttbombs.anm2</t>
  </si>
  <si>
    <t>210_gnawedleaf.anm2</t>
  </si>
  <si>
    <t>211_spiderbaby.anm2</t>
  </si>
  <si>
    <t>212_guppyscollar.anm2</t>
  </si>
  <si>
    <t>213_lostcontact.anm2</t>
  </si>
  <si>
    <t>214_anemic.anm2</t>
  </si>
  <si>
    <t>215_goathead.anm2</t>
  </si>
  <si>
    <t>216_ceremonialrobes.anm2</t>
  </si>
  <si>
    <t>217_momswig.anm2</t>
  </si>
  <si>
    <t>218_placenta.anm2</t>
  </si>
  <si>
    <t>219_oldbandage.anm2</t>
  </si>
  <si>
    <t>221_rubbercement.anm2</t>
  </si>
  <si>
    <t>222_antigravity.anm2</t>
  </si>
  <si>
    <t>223_pyromaniac.anm2</t>
  </si>
  <si>
    <t>224_crickets body.anm2</t>
  </si>
  <si>
    <t>225_gimpy.anm2</t>
  </si>
  <si>
    <t>226_blacklotus.anm2</t>
  </si>
  <si>
    <t>227_piggybank.anm2</t>
  </si>
  <si>
    <t>228_moms perfume.anm2</t>
  </si>
  <si>
    <t>229_monstros lung.anm2</t>
  </si>
  <si>
    <t>230_abaddon.anm2</t>
  </si>
  <si>
    <t>231_balloftar.anm2</t>
  </si>
  <si>
    <t>232_stopwatch.anm2</t>
  </si>
  <si>
    <t>233_tiny planet.anm2</t>
  </si>
  <si>
    <t>234_infestation2.anm2</t>
  </si>
  <si>
    <t>236_ecoli.anm2</t>
  </si>
  <si>
    <t>237_deathstouch.anm2</t>
  </si>
  <si>
    <t>240_experimentaltreatment.anm2</t>
  </si>
  <si>
    <t>241_contractfrombelow.anm2</t>
  </si>
  <si>
    <t>242_infamy.anm2</t>
  </si>
  <si>
    <t>244_tech05.anm2</t>
  </si>
  <si>
    <t>245_2020.anm2</t>
  </si>
  <si>
    <t>247_bffs.anm2</t>
  </si>
  <si>
    <t>248_hive mind.anm2</t>
  </si>
  <si>
    <t>249_theresoptions.anm2</t>
  </si>
  <si>
    <t>250_bogobombs.anm2</t>
  </si>
  <si>
    <t>251_starterdeck.anm2</t>
  </si>
  <si>
    <t>252_littlebaggy.anm2</t>
  </si>
  <si>
    <t>253_magicscab.anm2</t>
  </si>
  <si>
    <t>254_bloodclot.anm2</t>
  </si>
  <si>
    <t>255_screw.anm2</t>
  </si>
  <si>
    <t>256_hotbombs.anm2</t>
  </si>
  <si>
    <t>257_firemind.anm2</t>
  </si>
  <si>
    <t>258_missingno.anm2</t>
  </si>
  <si>
    <t>Main</t>
  </si>
  <si>
    <t>259_darkmatter.anm2</t>
  </si>
  <si>
    <t>260_blackcandle.anm2</t>
  </si>
  <si>
    <t>261_proptosis.anm2</t>
  </si>
  <si>
    <t>262_missingpage2.anm2</t>
  </si>
  <si>
    <t>267_robobaby20.anm2</t>
  </si>
  <si>
    <t>299_taurus.anm2</t>
  </si>
  <si>
    <t>300_aries.anm2</t>
  </si>
  <si>
    <t>301_cancer.anm2</t>
  </si>
  <si>
    <t>302_leo.anm2</t>
  </si>
  <si>
    <t>303_virgo.anm2</t>
  </si>
  <si>
    <t>304_libra.anm2</t>
  </si>
  <si>
    <t>305_scorpio.anm2</t>
  </si>
  <si>
    <t>306_sagittarius.anm2</t>
  </si>
  <si>
    <t>307_capricorn.anm2</t>
  </si>
  <si>
    <t>308_aquarius.anm2</t>
  </si>
  <si>
    <t>309_pisces.anm2</t>
  </si>
  <si>
    <t>310_evesmascara.anm2</t>
  </si>
  <si>
    <t>311_judasshadow.anm2</t>
  </si>
  <si>
    <t>312_maggysbow.anm2</t>
  </si>
  <si>
    <t>313_holymantle.anm2</t>
  </si>
  <si>
    <t>314_thunderthighs.anm2</t>
  </si>
  <si>
    <t>315_strangeattractor.anm2</t>
  </si>
  <si>
    <t>316_cursedeye.anm2</t>
  </si>
  <si>
    <t>317_mysteriousliquid.anm2</t>
  </si>
  <si>
    <t>326_breath of life.anm2</t>
  </si>
  <si>
    <t>327_thepolaroid.anm2</t>
  </si>
  <si>
    <t>328_thenegative.anm2</t>
  </si>
  <si>
    <t>329_theludovicotreatment.anm2</t>
  </si>
  <si>
    <t>330_soymilk.anm2</t>
  </si>
  <si>
    <t>331_godhead.anm2</t>
  </si>
  <si>
    <t>332_lazarus rags.anm2</t>
  </si>
  <si>
    <t>333_mind.anm2</t>
  </si>
  <si>
    <t>334_body.anm2</t>
  </si>
  <si>
    <t>335_soul.anm2</t>
  </si>
  <si>
    <t>336_deadonion.anm2</t>
  </si>
  <si>
    <t>337_broken stopwatch.anm2</t>
  </si>
  <si>
    <t>339_safety pin.anm2</t>
  </si>
  <si>
    <t>340_caffeine pill.anm2</t>
  </si>
  <si>
    <t>341_torn photo.anm2</t>
  </si>
  <si>
    <t>342_blue cap.anm2</t>
  </si>
  <si>
    <t>343_latchkey.anm2</t>
  </si>
  <si>
    <t>344_matchbook.anm2</t>
  </si>
  <si>
    <t>345_synthoil.anm2</t>
  </si>
  <si>
    <t>350_toxicshock.anm2</t>
  </si>
  <si>
    <t>353_bomberboy.anm2</t>
  </si>
  <si>
    <t>354_crackerjacks.anm2</t>
  </si>
  <si>
    <t>355_momspearls.anm2</t>
  </si>
  <si>
    <t>356_carbattery.anm2</t>
  </si>
  <si>
    <t>358_thewiz.anm2</t>
  </si>
  <si>
    <t>359_8inchnail.anm2</t>
  </si>
  <si>
    <t>366_scatterbombs.anm2</t>
  </si>
  <si>
    <t>367_stickybombs.anm2</t>
  </si>
  <si>
    <t>368_epiphora.anm2</t>
  </si>
  <si>
    <t>369_continuum.anm2</t>
  </si>
  <si>
    <t>370_mrdolly.anm2</t>
  </si>
  <si>
    <t>371_curseofthetower.anm2</t>
  </si>
  <si>
    <t>373_deadeye.anm2</t>
  </si>
  <si>
    <t>374_holylight.anm2</t>
  </si>
  <si>
    <t>375_hosthat.anm2</t>
  </si>
  <si>
    <t>377_burstingsack.anm2</t>
  </si>
  <si>
    <t>378_no2.anm2</t>
  </si>
  <si>
    <t>379_pupuladuplex.anm2</t>
  </si>
  <si>
    <t>380_paytoplay.anm2</t>
  </si>
  <si>
    <t>381_edensblessing.anm2</t>
  </si>
  <si>
    <t>391_betrayal.anm2</t>
  </si>
  <si>
    <t>392_zodiac.anm2</t>
  </si>
  <si>
    <t>393_serpentskiss.anm2</t>
  </si>
  <si>
    <t>394_marked.anm2</t>
  </si>
  <si>
    <t>395_techx.anm2</t>
  </si>
  <si>
    <t>397_tractorbeam.anm2</t>
  </si>
  <si>
    <t>398_godsflesh.anm2</t>
  </si>
  <si>
    <t>399_mawofthevoid.anm2</t>
  </si>
  <si>
    <t>402_chaos.anm2</t>
  </si>
  <si>
    <t>407_purity.anm2</t>
  </si>
  <si>
    <t>408_athame.anm2</t>
  </si>
  <si>
    <t>409_emptyvessel.anm2</t>
  </si>
  <si>
    <t>410_evileye.anm2</t>
  </si>
  <si>
    <t>411_lustyblood.anm2</t>
  </si>
  <si>
    <t>412_cambionconception.anm2</t>
  </si>
  <si>
    <t>413_immaculateconception.anm2</t>
  </si>
  <si>
    <t>414_moreoptions.anm2</t>
  </si>
  <si>
    <t>418_fruitcake.anm2</t>
  </si>
  <si>
    <t>420_blackpowder.anm2</t>
  </si>
  <si>
    <t>424_sackhead.anm2</t>
  </si>
  <si>
    <t>425_nightlight.anm2</t>
  </si>
  <si>
    <t>428_pjs.anm2</t>
  </si>
  <si>
    <t>429_headofthekeeper.anm2</t>
  </si>
  <si>
    <t>432_glitterbombs.anm2</t>
  </si>
  <si>
    <t>433_myshadow.anm2</t>
  </si>
  <si>
    <t>438_binky.anm2</t>
  </si>
  <si>
    <t>443_apple.anm2</t>
  </si>
  <si>
    <t>444_leadpencil.anm2</t>
  </si>
  <si>
    <t>445_dogtooth.anm2</t>
  </si>
  <si>
    <t>446_deadtooth.anm2</t>
  </si>
  <si>
    <t>447_lingerbean.anm2</t>
  </si>
  <si>
    <t>448_shardofglass.anm2</t>
  </si>
  <si>
    <t>449_metalplate.anm2</t>
  </si>
  <si>
    <t>450_eyeofgreed.anm2</t>
  </si>
  <si>
    <t>451_tarotcloth.anm2</t>
  </si>
  <si>
    <t>452_varicoseveins.anm2</t>
  </si>
  <si>
    <t>453_compoundfracture.anm2</t>
  </si>
  <si>
    <t>454_polydactyly.anm2</t>
  </si>
  <si>
    <t>455_dadslostcoin.anm2</t>
  </si>
  <si>
    <t>457_conehead.anm2</t>
  </si>
  <si>
    <t>458_bellybutton.anm2</t>
  </si>
  <si>
    <t>459_sinusinfection.anm2</t>
  </si>
  <si>
    <t>460_glaucoma.anm2</t>
  </si>
  <si>
    <t>461_parasitoid.anm2</t>
  </si>
  <si>
    <t>462_eyeofbelial.anm2</t>
  </si>
  <si>
    <t>463_sulphuricacid.anm2</t>
  </si>
  <si>
    <t>464_glyphofbalance.anm2</t>
  </si>
  <si>
    <t>465_analogstick.anm2</t>
  </si>
  <si>
    <t>466_contagion.anm2</t>
  </si>
  <si>
    <t>494_jacobsladder.anm2</t>
  </si>
  <si>
    <t>495_ghostpepper.anm2</t>
  </si>
  <si>
    <t>496_euthanasia.anm2</t>
  </si>
  <si>
    <t>497_camoundies.anm2</t>
  </si>
  <si>
    <t>498_duality.anm2</t>
  </si>
  <si>
    <t>499_eucharist.anm2</t>
  </si>
  <si>
    <t>501_greedsgullet.anm2</t>
  </si>
  <si>
    <t>502_largezit.anm2</t>
  </si>
  <si>
    <t>503_littlehorn.anm2</t>
  </si>
  <si>
    <t>507_sharpstraw.anm2</t>
  </si>
  <si>
    <t>510_delirious.anm2</t>
  </si>
  <si>
    <t>513_bozo.anm2</t>
  </si>
  <si>
    <t>514_modem.anm2</t>
  </si>
  <si>
    <t>517_fastbombs.anm2</t>
  </si>
  <si>
    <t>520_jumpercable.anm2</t>
  </si>
  <si>
    <t>524_technologyzero.anm2</t>
  </si>
  <si>
    <t>525_leprosy.anm2</t>
  </si>
  <si>
    <t>529_pop.anm2</t>
  </si>
  <si>
    <t>530_deathslist.anm2</t>
  </si>
  <si>
    <t>531_haemolacria.anm2</t>
  </si>
  <si>
    <t>532_lachryphagy.anm2</t>
  </si>
  <si>
    <t>533_trisagion.anm2</t>
  </si>
  <si>
    <t>534_schoolbag.anm2</t>
  </si>
  <si>
    <t>535_blanket.anm2</t>
  </si>
  <si>
    <t>540_flatstone.anm2</t>
  </si>
  <si>
    <t>541_marrow.anm2</t>
  </si>
  <si>
    <t>546_dadsring.anm2</t>
  </si>
  <si>
    <t>547_divorcepapers.anm2</t>
  </si>
  <si>
    <t>549_brittlebones.anm2</t>
  </si>
  <si>
    <t>000x_mucormycosis.anm2</t>
  </si>
  <si>
    <t>001x_2spooky.anm2</t>
  </si>
  <si>
    <t>005x_eyesore.anm2</t>
  </si>
  <si>
    <t>006x_120volt.anm2</t>
  </si>
  <si>
    <t>007x_ithurts.anm2</t>
  </si>
  <si>
    <t>008x_almondmilk.anm2</t>
  </si>
  <si>
    <t>009x_rockbottom.anm2</t>
  </si>
  <si>
    <t>011x_soap.anm2</t>
  </si>
  <si>
    <t>017x_playdohcookie.anm2</t>
  </si>
  <si>
    <t>018x_socks.anm2</t>
  </si>
  <si>
    <t>019x_occulteye.anm2</t>
  </si>
  <si>
    <t>020x_immaculateheart.anm2</t>
  </si>
  <si>
    <t>021x_monstrance.anm2</t>
  </si>
  <si>
    <t>022x_theintruder.anm2</t>
  </si>
  <si>
    <t>023x_dirtymind.anm2</t>
  </si>
  <si>
    <t>035x_sol.anm2</t>
  </si>
  <si>
    <t>036x_luna.anm2</t>
  </si>
  <si>
    <t>037x_mercurius.anm2</t>
  </si>
  <si>
    <t>038x_venus.anm2</t>
  </si>
  <si>
    <t>back</t>
  </si>
  <si>
    <t>039x_terra.anm2</t>
  </si>
  <si>
    <t>040x_mars.anm2</t>
  </si>
  <si>
    <t>041x_jupiter.anm2</t>
  </si>
  <si>
    <t>043x_uranus.anm2</t>
  </si>
  <si>
    <t>044x_neptunus.anm2</t>
  </si>
  <si>
    <t>046x_voodoohead.anm2</t>
  </si>
  <si>
    <t>047x_eyedrops.anm2</t>
  </si>
  <si>
    <t>048x_actofcontrition.anm2</t>
  </si>
  <si>
    <t>049x_membercard.anm2</t>
  </si>
  <si>
    <t>050x_batterypack.anm2</t>
  </si>
  <si>
    <t>052x_thescooper.anm2</t>
  </si>
  <si>
    <t>053x_oculusrift.anm2</t>
  </si>
  <si>
    <t>057x_birdcage.anm2</t>
  </si>
  <si>
    <t>611_larynx.anm2</t>
  </si>
  <si>
    <t>061x_bloodbombs.anm2</t>
  </si>
  <si>
    <t>063x_birdseye.anm2</t>
  </si>
  <si>
    <t>064x_lodestone.anm2</t>
  </si>
  <si>
    <t>065x_rottentomato.anm2</t>
  </si>
  <si>
    <t>068x_redstew.anm2</t>
  </si>
  <si>
    <t>big_isaac.anm2</t>
  </si>
  <si>
    <t>extra</t>
  </si>
  <si>
    <t>077x_lucky7.anm2</t>
  </si>
  <si>
    <t>079x_evilcharm.anm2</t>
  </si>
  <si>
    <t>179_fate.anm2</t>
  </si>
  <si>
    <t>084x_knockout.anm2</t>
  </si>
  <si>
    <t>088x_akeldama.anm2</t>
  </si>
  <si>
    <t>090x_revelation.anm2</t>
  </si>
  <si>
    <t>091x_consolationprize.anm2</t>
  </si>
  <si>
    <t>094x_assaultbattery.anm2</t>
  </si>
  <si>
    <t>101x_falsephd.anm2</t>
  </si>
  <si>
    <t>104x_vasculitis.anm2</t>
  </si>
  <si>
    <t>105x_giantcell.anm2</t>
  </si>
  <si>
    <t>106x_tropicamide.anm2</t>
  </si>
  <si>
    <t>660_cardreading.anm2</t>
  </si>
  <si>
    <t>662_pacifist.anm2</t>
  </si>
  <si>
    <t>665_guppyseye.anm2</t>
  </si>
  <si>
    <t>069x_sausage.anm2</t>
  </si>
  <si>
    <t>671_candyheart.anm2</t>
  </si>
  <si>
    <t>672_poundofflesh.anm2</t>
  </si>
  <si>
    <t>674_spiritshackles2.anm2</t>
  </si>
  <si>
    <t>675_crackedorb.anm2</t>
  </si>
  <si>
    <t>677_astralprojection.anm2</t>
  </si>
  <si>
    <t>678_csection.anm2</t>
  </si>
  <si>
    <t>680_montezuma.anm2</t>
  </si>
  <si>
    <t>686_soullocket.anm2</t>
  </si>
  <si>
    <t>045x_pluto.anm2</t>
  </si>
  <si>
    <t>129_bucket of lard.anm2</t>
  </si>
  <si>
    <t>699_azazelsrage.anm2</t>
  </si>
  <si>
    <t>704_berserk.anm2</t>
  </si>
  <si>
    <t>708_stapler.anm2</t>
  </si>
  <si>
    <t>730_glasseye.anm2</t>
  </si>
  <si>
    <t>731_stye.anm2</t>
  </si>
  <si>
    <t>732_momsring.anm2</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</si>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</sst>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color theme="1"/>
      <name val="Arial"/>
      <scheme val="minor"/>
    </font>
    <font>
      <color theme="1"/>
      <name val="Arial"/>
      <scheme val="minor"/>
    </font>
    <font>
      <i/>
      <color theme="1"/>
      <name val="Arial"/>
      <scheme val="minor"/>
    </font>
  </fonts>
  <fills count="6">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2" fontId="1" numFmtId="0" xfId="0" applyAlignment="1" applyFill="1" applyFont="1">
      <alignment readingOrder="0"/>
    </xf>
    <xf borderId="0" fillId="3" fontId="2" numFmtId="0" xfId="0" applyFill="1" applyFont="1"/>
    <xf borderId="0" fillId="4" fontId="1" numFmtId="0" xfId="0" applyAlignment="1" applyFill="1" applyFont="1">
      <alignment readingOrder="0"/>
    </xf>
    <xf borderId="0" fillId="5" fontId="2" numFmtId="0" xfId="0" applyFill="1" applyFont="1"/>
    <xf borderId="0" fillId="5" fontId="2" numFmtId="0" xfId="0" applyAlignment="1" applyFont="1">
      <alignment readingOrder="0" shrinkToFit="0" wrapText="1"/>
    </xf>
    <xf borderId="0" fillId="5" fontId="2" numFmtId="0" xfId="0" applyAlignment="1" applyFont="1">
      <alignment readingOrder="0"/>
    </xf>
    <xf borderId="0" fillId="0" fontId="1" numFmtId="0" xfId="0" applyFont="1"/>
    <xf borderId="0" fillId="0" fontId="2" numFmtId="0" xfId="0" applyFont="1"/>
    <xf borderId="0" fillId="0" fontId="2" numFmtId="0" xfId="0" applyAlignment="1" applyFont="1">
      <alignment readingOrder="0"/>
    </xf>
    <xf borderId="0" fillId="0" fontId="1" numFmtId="0" xfId="0" applyAlignment="1" applyFont="1">
      <alignment readingOrder="0"/>
    </xf>
    <xf borderId="0" fillId="0" fontId="3" numFmtId="0" xfId="0" applyAlignment="1" applyFont="1">
      <alignment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glow-style">
      <tableStyleElement dxfId="1" type="headerRow"/>
      <tableStyleElement dxfId="2" type="firstRowStripe"/>
      <tableStyleElement dxfId="3" type="secondRowStripe"/>
    </tableStyle>
    <tableStyle count="3" pivot="0" name="body-style">
      <tableStyleElement dxfId="1" type="headerRow"/>
      <tableStyleElement dxfId="2" type="firstRowStripe"/>
      <tableStyleElement dxfId="3" type="secondRowStripe"/>
    </tableStyle>
    <tableStyle count="3" pivot="0" name="body0-style">
      <tableStyleElement dxfId="1" type="headerRow"/>
      <tableStyleElement dxfId="2" type="firstRowStripe"/>
      <tableStyleElement dxfId="3" type="secondRowStripe"/>
    </tableStyle>
    <tableStyle count="3" pivot="0" name="body1-style">
      <tableStyleElement dxfId="1" type="headerRow"/>
      <tableStyleElement dxfId="2" type="firstRowStripe"/>
      <tableStyleElement dxfId="3" type="secondRowStripe"/>
    </tableStyle>
    <tableStyle count="3" pivot="0" name="head-style">
      <tableStyleElement dxfId="1" type="headerRow"/>
      <tableStyleElement dxfId="2" type="firstRowStripe"/>
      <tableStyleElement dxfId="3" type="secondRowStripe"/>
    </tableStyle>
    <tableStyle count="3" pivot="0" name="head0-style">
      <tableStyleElement dxfId="1" type="headerRow"/>
      <tableStyleElement dxfId="2" type="firstRowStripe"/>
      <tableStyleElement dxfId="3" type="secondRowStripe"/>
    </tableStyle>
    <tableStyle count="3" pivot="0" name="head1-style">
      <tableStyleElement dxfId="1" type="headerRow"/>
      <tableStyleElement dxfId="2" type="firstRowStripe"/>
      <tableStyleElement dxfId="3" type="secondRowStripe"/>
    </tableStyle>
    <tableStyle count="3" pivot="0" name="head2-style">
      <tableStyleElement dxfId="1" type="headerRow"/>
      <tableStyleElement dxfId="2" type="firstRowStripe"/>
      <tableStyleElement dxfId="3" type="secondRowStripe"/>
    </tableStyle>
    <tableStyle count="3" pivot="0" name="head3-style">
      <tableStyleElement dxfId="1" type="headerRow"/>
      <tableStyleElement dxfId="2" type="firstRowStripe"/>
      <tableStyleElement dxfId="3" type="secondRowStripe"/>
    </tableStyle>
    <tableStyle count="3" pivot="0" name="head4-style">
      <tableStyleElement dxfId="1" type="headerRow"/>
      <tableStyleElement dxfId="2" type="firstRowStripe"/>
      <tableStyleElement dxfId="3" type="secondRowStripe"/>
    </tableStyle>
    <tableStyle count="3" pivot="0" name="head5-style">
      <tableStyleElement dxfId="1" type="headerRow"/>
      <tableStyleElement dxfId="2" type="firstRowStripe"/>
      <tableStyleElement dxfId="3" type="secondRowStripe"/>
    </tableStyle>
    <tableStyle count="3" pivot="0" name="top0-style">
      <tableStyleElement dxfId="1" type="headerRow"/>
      <tableStyleElement dxfId="2" type="firstRowStripe"/>
      <tableStyleElement dxfId="3" type="secondRowStripe"/>
    </tableStyle>
    <tableStyle count="3" pivot="0" name="misc-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F27" displayName="Table_1" name="Table_1" id="1">
  <tableColumns count="6">
    <tableColumn name="ANM2 Name" id="1"/>
    <tableColumn name="ID" id="2"/>
    <tableColumn name="Type" id="3"/>
    <tableColumn name="Priority" id="4"/>
    <tableColumn name="Layer" id="5"/>
    <tableColumn name="Image" id="6"/>
  </tableColumns>
  <tableStyleInfo name="glow-style" showColumnStripes="0" showFirstColumn="1" showLastColumn="1" showRowStripes="1"/>
</table>
</file>

<file path=xl/tables/table2.xml><?xml version="1.0" encoding="utf-8"?>
<table xmlns="http://schemas.openxmlformats.org/spreadsheetml/2006/main" ref="A1:F637" displayName="Table_2" name="Table_2" id="2">
  <tableColumns count="6">
    <tableColumn name="ANM2 Name" id="1"/>
    <tableColumn name="ID" id="2"/>
    <tableColumn name="Type" id="3"/>
    <tableColumn name="Priority" id="4"/>
    <tableColumn name="Layer" id="5"/>
    <tableColumn name="Image" id="6"/>
  </tableColumns>
  <tableStyleInfo name="body-style" showColumnStripes="0" showFirstColumn="1" showLastColumn="1" showRowStripes="1"/>
</table>
</file>

<file path=xl/tables/table3.xml><?xml version="1.0" encoding="utf-8"?>
<table xmlns="http://schemas.openxmlformats.org/spreadsheetml/2006/main" ref="A1:F66" displayName="Table_3" name="Table_3" id="3">
  <tableColumns count="6">
    <tableColumn name="ANM2 Name" id="1"/>
    <tableColumn name="ID" id="2"/>
    <tableColumn name="Type" id="3"/>
    <tableColumn name="Priority" id="4"/>
    <tableColumn name="Layer" id="5"/>
    <tableColumn name="Image" id="6"/>
  </tableColumns>
  <tableStyleInfo name="body0-style" showColumnStripes="0" showFirstColumn="1" showLastColumn="1" showRowStripes="1"/>
</table>
</file>

<file path=xl/tables/table4.xml><?xml version="1.0" encoding="utf-8"?>
<table xmlns="http://schemas.openxmlformats.org/spreadsheetml/2006/main" ref="A1:F17" displayName="Table_4" name="Table_4" id="4">
  <tableColumns count="6">
    <tableColumn name="ANM2 Name" id="1"/>
    <tableColumn name="ID" id="2"/>
    <tableColumn name="Type" id="3"/>
    <tableColumn name="Priority" id="4"/>
    <tableColumn name="Layer" id="5"/>
    <tableColumn name="Image" id="6"/>
  </tableColumns>
  <tableStyleInfo name="body1-style" showColumnStripes="0" showFirstColumn="1" showLastColumn="1" showRowStripes="1"/>
</table>
</file>

<file path=xl/tables/table5.xml><?xml version="1.0" encoding="utf-8"?>
<table xmlns="http://schemas.openxmlformats.org/spreadsheetml/2006/main" ref="A1:F125" displayName="Table_5" name="Table_5" id="5">
  <tableColumns count="6">
    <tableColumn name="ANM2 Name" id="1"/>
    <tableColumn name="ID" id="2"/>
    <tableColumn name="Type" id="3"/>
    <tableColumn name="Priority" id="4"/>
    <tableColumn name="Layer" id="5"/>
    <tableColumn name="Image" id="6"/>
  </tableColumns>
  <tableStyleInfo name="head-style" showColumnStripes="0" showFirstColumn="1" showLastColumn="1" showRowStripes="1"/>
</table>
</file>

<file path=xl/tables/table6.xml><?xml version="1.0" encoding="utf-8"?>
<table xmlns="http://schemas.openxmlformats.org/spreadsheetml/2006/main" ref="A1:F42" displayName="Table_6" name="Table_6" id="6">
  <tableColumns count="6">
    <tableColumn name="ANM2 Name" id="1"/>
    <tableColumn name="ID" id="2"/>
    <tableColumn name="Type" id="3"/>
    <tableColumn name="Priority" id="4"/>
    <tableColumn name="Layer" id="5"/>
    <tableColumn name="Image" id="6"/>
  </tableColumns>
  <tableStyleInfo name="head0-style" showColumnStripes="0" showFirstColumn="1" showLastColumn="1" showRowStripes="1"/>
</table>
</file>

<file path=xl/tables/table7.xml><?xml version="1.0" encoding="utf-8"?>
<table xmlns="http://schemas.openxmlformats.org/spreadsheetml/2006/main" ref="A1:F579" displayName="Table_7" name="Table_7" id="7">
  <tableColumns count="6">
    <tableColumn name="ANM2 Name" id="1"/>
    <tableColumn name="ID" id="2"/>
    <tableColumn name="Type" id="3"/>
    <tableColumn name="Priority" id="4"/>
    <tableColumn name="Layer" id="5"/>
    <tableColumn name="Image" id="6"/>
  </tableColumns>
  <tableStyleInfo name="head1-style" showColumnStripes="0" showFirstColumn="1" showLastColumn="1" showRowStripes="1"/>
</table>
</file>

<file path=xl/tables/table8.xml><?xml version="1.0" encoding="utf-8"?>
<table xmlns="http://schemas.openxmlformats.org/spreadsheetml/2006/main" ref="A1:F576" displayName="Table_8" name="Table_8" id="8">
  <tableColumns count="6">
    <tableColumn name="ANM2 Name" id="1"/>
    <tableColumn name="ID" id="2"/>
    <tableColumn name="Type" id="3"/>
    <tableColumn name="Priority" id="4"/>
    <tableColumn name="Layer" id="5"/>
    <tableColumn name="Image" id="6"/>
  </tableColumns>
  <tableStyleInfo name="head2-style" showColumnStripes="0" showFirstColumn="1" showLastColumn="1" showRowStripes="1"/>
</table>
</file>

<file path=xl/tables/table9.xml><?xml version="1.0" encoding="utf-8"?>
<table xmlns="http://schemas.openxmlformats.org/spreadsheetml/2006/main" ref="A1:F52" displayName="Table_9" name="Table_9" id="9">
  <tableColumns count="6">
    <tableColumn name="ANM2 Name" id="1"/>
    <tableColumn name="ID" id="2"/>
    <tableColumn name="Type" id="3"/>
    <tableColumn name="Priority" id="4"/>
    <tableColumn name="Layer" id="5"/>
    <tableColumn name="Image" id="6"/>
  </tableColumns>
  <tableStyleInfo name="head3-style" showColumnStripes="0" showFirstColumn="1" showLastColumn="1" showRowStripes="1"/>
</table>
</file>

<file path=xl/tables/table10.xml><?xml version="1.0" encoding="utf-8"?>
<table xmlns="http://schemas.openxmlformats.org/spreadsheetml/2006/main" ref="A1:F44" displayName="Table_10" name="Table_10" id="10">
  <tableColumns count="6">
    <tableColumn name="ANM2 Name" id="1"/>
    <tableColumn name="ID" id="2"/>
    <tableColumn name="Type" id="3"/>
    <tableColumn name="Priority" id="4"/>
    <tableColumn name="Layer" id="5"/>
    <tableColumn name="Image" id="6"/>
  </tableColumns>
  <tableStyleInfo name="head4-style" showColumnStripes="0" showFirstColumn="1" showLastColumn="1" showRowStripes="1"/>
</table>
</file>

<file path=xl/tables/table11.xml><?xml version="1.0" encoding="utf-8"?>
<table xmlns="http://schemas.openxmlformats.org/spreadsheetml/2006/main" ref="A1:F9" displayName="Table_11" name="Table_11" id="11">
  <tableColumns count="6">
    <tableColumn name="ANM2 Name" id="1"/>
    <tableColumn name="ID" id="2"/>
    <tableColumn name="Type" id="3"/>
    <tableColumn name="Priority" id="4"/>
    <tableColumn name="Layer" id="5"/>
    <tableColumn name="Image" id="6"/>
  </tableColumns>
  <tableStyleInfo name="head5-style" showColumnStripes="0" showFirstColumn="1" showLastColumn="1" showRowStripes="1"/>
</table>
</file>

<file path=xl/tables/table12.xml><?xml version="1.0" encoding="utf-8"?>
<table xmlns="http://schemas.openxmlformats.org/spreadsheetml/2006/main" ref="A1:F24" displayName="Table_12" name="Table_12" id="12">
  <tableColumns count="6">
    <tableColumn name="ANM2 Name" id="1"/>
    <tableColumn name="ID" id="2"/>
    <tableColumn name="Type" id="3"/>
    <tableColumn name="Priority" id="4"/>
    <tableColumn name="Layer" id="5"/>
    <tableColumn name="Image" id="6"/>
  </tableColumns>
  <tableStyleInfo name="top0-style" showColumnStripes="0" showFirstColumn="1" showLastColumn="1" showRowStripes="1"/>
</table>
</file>

<file path=xl/tables/table13.xml><?xml version="1.0" encoding="utf-8"?>
<table xmlns="http://schemas.openxmlformats.org/spreadsheetml/2006/main" ref="A1:F3" displayName="Table_13" name="Table_13" id="13">
  <tableColumns count="6">
    <tableColumn name="ANM2 Name" id="1"/>
    <tableColumn name="ID" id="2"/>
    <tableColumn name="Type" id="3"/>
    <tableColumn name="Priority" id="4"/>
    <tableColumn name="Layer" id="5"/>
    <tableColumn name="Image" id="6"/>
  </tableColumns>
  <tableStyleInfo name="misc-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5.13"/>
    <col customWidth="1" min="3" max="3" width="7.25"/>
    <col customWidth="1" min="4" max="4" width="9.38"/>
    <col customWidth="1" min="5" max="5" width="8.0"/>
    <col customWidth="1" min="6" max="6" width="25.13"/>
    <col customWidth="1" min="8" max="8" width="73.0"/>
  </cols>
  <sheetData>
    <row r="1" ht="37.5" customHeight="1">
      <c r="A1" s="1" t="s">
        <v>0</v>
      </c>
      <c r="B1" s="1" t="s">
        <v>1</v>
      </c>
      <c r="C1" s="1" t="s">
        <v>2</v>
      </c>
      <c r="D1" s="1" t="s">
        <v>3</v>
      </c>
      <c r="E1" s="1" t="s">
        <v>4</v>
      </c>
      <c r="F1" s="1" t="s">
        <v>5</v>
      </c>
    </row>
    <row r="2" ht="37.5" customHeight="1">
      <c r="A2" s="2" t="s">
        <v>6</v>
      </c>
      <c r="B2" s="2">
        <v>-1.0</v>
      </c>
      <c r="C2" s="2" t="s">
        <v>7</v>
      </c>
      <c r="D2" s="2">
        <v>0.0</v>
      </c>
      <c r="E2" s="2" t="s">
        <v>8</v>
      </c>
      <c r="F2" s="2" t="str">
        <f>IMAGE("https://mcgrathscove.ca/connor/isaaccostumes/002x_schoolbag_body.png")</f>
        <v/>
      </c>
      <c r="H2" s="3" t="s">
        <v>9</v>
      </c>
    </row>
    <row r="3" ht="37.5" customHeight="1">
      <c r="A3" s="4" t="s">
        <v>10</v>
      </c>
      <c r="B3" s="4">
        <v>-1.0</v>
      </c>
      <c r="C3" s="4" t="s">
        <v>7</v>
      </c>
      <c r="D3" s="4">
        <v>0.0</v>
      </c>
      <c r="E3" s="4" t="s">
        <v>8</v>
      </c>
      <c r="F3" s="4" t="str">
        <f>IMAGE("https://mcgrathscove.ca/connor/isaaccostumes/022x_theintruder2_body.png")</f>
        <v/>
      </c>
      <c r="H3" s="5" t="s">
        <v>11</v>
      </c>
    </row>
    <row r="4" ht="37.5" customHeight="1">
      <c r="A4" s="2" t="s">
        <v>10</v>
      </c>
      <c r="B4" s="2">
        <v>-1.0</v>
      </c>
      <c r="C4" s="2" t="s">
        <v>7</v>
      </c>
      <c r="D4" s="2">
        <v>0.0</v>
      </c>
      <c r="E4" s="2" t="s">
        <v>12</v>
      </c>
      <c r="F4" s="2" t="str">
        <f>IMAGE("https://mcgrathscove.ca/connor/isaaccostumes/022x_theintruder2_blood.png")</f>
        <v/>
      </c>
      <c r="H4" s="6" t="s">
        <v>13</v>
      </c>
    </row>
    <row r="5" ht="37.5" customHeight="1">
      <c r="A5" s="4" t="s">
        <v>14</v>
      </c>
      <c r="B5" s="4">
        <v>-1.0</v>
      </c>
      <c r="C5" s="4" t="s">
        <v>7</v>
      </c>
      <c r="D5" s="4">
        <v>0.0</v>
      </c>
      <c r="E5" s="4" t="s">
        <v>15</v>
      </c>
      <c r="F5" s="4" t="str">
        <f>IMAGE("https://mcgrathscove.ca/connor/isaaccostumes/058x_donkeyjawbone_body0.png")</f>
        <v/>
      </c>
      <c r="H5" s="3" t="s">
        <v>16</v>
      </c>
    </row>
    <row r="6" ht="37.5" customHeight="1">
      <c r="A6" s="2" t="s">
        <v>17</v>
      </c>
      <c r="B6" s="2">
        <v>-1.0</v>
      </c>
      <c r="C6" s="2" t="s">
        <v>7</v>
      </c>
      <c r="D6" s="2">
        <v>0.0</v>
      </c>
      <c r="E6" s="2" t="s">
        <v>15</v>
      </c>
      <c r="F6" s="2" t="str">
        <f>IMAGE("https://mcgrathscove.ca/connor/isaaccostumes/508_momsrazor_body0.png")</f>
        <v/>
      </c>
      <c r="H6" s="5" t="s">
        <v>18</v>
      </c>
    </row>
    <row r="7" ht="37.5" customHeight="1">
      <c r="A7" s="4" t="s">
        <v>19</v>
      </c>
      <c r="B7" s="4">
        <v>1.0</v>
      </c>
      <c r="C7" s="4" t="s">
        <v>20</v>
      </c>
      <c r="D7" s="4">
        <v>0.0</v>
      </c>
      <c r="E7" s="4" t="s">
        <v>21</v>
      </c>
      <c r="F7" s="4" t="str">
        <f>IMAGE("https://mcgrathscove.ca/connor/isaaccostumes/001_the_sad_onion_head0.png")</f>
        <v/>
      </c>
      <c r="H7" s="3" t="s">
        <v>22</v>
      </c>
    </row>
    <row r="8" ht="37.5" customHeight="1">
      <c r="A8" s="2" t="s">
        <v>23</v>
      </c>
      <c r="B8" s="2">
        <v>1.0</v>
      </c>
      <c r="C8" s="2" t="s">
        <v>24</v>
      </c>
      <c r="D8" s="2">
        <v>0.0</v>
      </c>
      <c r="E8" s="2" t="s">
        <v>25</v>
      </c>
      <c r="F8" s="2" t="str">
        <f>IMAGE("https://mcgrathscove.ca/connor/isaaccostumes/n001_puberty_head3.png")</f>
        <v/>
      </c>
      <c r="H8" s="5" t="s">
        <v>26</v>
      </c>
    </row>
    <row r="9" ht="37.5" customHeight="1">
      <c r="A9" s="4" t="s">
        <v>27</v>
      </c>
      <c r="B9" s="4">
        <v>2.0</v>
      </c>
      <c r="C9" s="4" t="s">
        <v>20</v>
      </c>
      <c r="D9" s="4">
        <v>0.0</v>
      </c>
      <c r="E9" s="4" t="s">
        <v>28</v>
      </c>
      <c r="F9" s="4" t="str">
        <f>IMAGE("https://mcgrathscove.ca/connor/isaaccostumes/002_the_inner_eye_head1.png")</f>
        <v/>
      </c>
      <c r="H9" s="5" t="s">
        <v>29</v>
      </c>
    </row>
    <row r="10" ht="37.5" customHeight="1">
      <c r="A10" s="2" t="s">
        <v>30</v>
      </c>
      <c r="B10" s="2">
        <v>2.0</v>
      </c>
      <c r="C10" s="2" t="s">
        <v>24</v>
      </c>
      <c r="D10" s="2">
        <v>0.0</v>
      </c>
      <c r="E10" s="2" t="s">
        <v>28</v>
      </c>
      <c r="F10" s="2" t="str">
        <f>IMAGE("https://mcgrathscove.ca/connor/isaaccostumes/n002_i_found_pills_head1.png")</f>
        <v/>
      </c>
      <c r="H10" s="3" t="s">
        <v>31</v>
      </c>
    </row>
    <row r="11" ht="37.5" customHeight="1">
      <c r="A11" s="4" t="s">
        <v>32</v>
      </c>
      <c r="B11" s="4">
        <v>3.0</v>
      </c>
      <c r="C11" s="4" t="s">
        <v>20</v>
      </c>
      <c r="D11" s="4">
        <v>0.0</v>
      </c>
      <c r="E11" s="4" t="s">
        <v>33</v>
      </c>
      <c r="F11" s="4" t="str">
        <f>IMAGE("https://mcgrathscove.ca/connor/isaaccostumes/003_spoon_bender_head.png")</f>
        <v/>
      </c>
      <c r="H11" s="5" t="s">
        <v>34</v>
      </c>
    </row>
    <row r="12" ht="37.5" customHeight="1">
      <c r="A12" s="2" t="s">
        <v>32</v>
      </c>
      <c r="B12" s="2">
        <v>3.0</v>
      </c>
      <c r="C12" s="2" t="s">
        <v>20</v>
      </c>
      <c r="D12" s="2">
        <v>0.0</v>
      </c>
      <c r="E12" s="2" t="s">
        <v>28</v>
      </c>
      <c r="F12" s="2" t="str">
        <f>IMAGE("https://mcgrathscove.ca/connor/isaaccostumes/003_spoon_bender_head1.png")</f>
        <v/>
      </c>
      <c r="H12" s="3" t="s">
        <v>35</v>
      </c>
    </row>
    <row r="13" ht="37.5" customHeight="1">
      <c r="A13" s="4" t="s">
        <v>32</v>
      </c>
      <c r="B13" s="4">
        <v>3.0</v>
      </c>
      <c r="C13" s="4" t="s">
        <v>20</v>
      </c>
      <c r="D13" s="4">
        <v>0.0</v>
      </c>
      <c r="E13" s="4" t="s">
        <v>25</v>
      </c>
      <c r="F13" s="4" t="str">
        <f>IMAGE("https://mcgrathscove.ca/connor/isaaccostumes/003_spoon_bender_head3.png")</f>
        <v/>
      </c>
      <c r="H13" s="5" t="s">
        <v>36</v>
      </c>
    </row>
    <row r="14" ht="37.5" customHeight="1">
      <c r="A14" s="2" t="s">
        <v>37</v>
      </c>
      <c r="B14" s="2">
        <v>3.0</v>
      </c>
      <c r="C14" s="2" t="s">
        <v>24</v>
      </c>
      <c r="D14" s="2">
        <v>0.0</v>
      </c>
      <c r="E14" s="2" t="s">
        <v>8</v>
      </c>
      <c r="F14" s="2" t="str">
        <f>IMAGE("https://mcgrathscove.ca/connor/isaaccostumes/263_lordoftheflies_body.png")</f>
        <v/>
      </c>
    </row>
    <row r="15" ht="37.5" customHeight="1">
      <c r="A15" s="4" t="s">
        <v>37</v>
      </c>
      <c r="B15" s="4">
        <v>3.0</v>
      </c>
      <c r="C15" s="4" t="s">
        <v>24</v>
      </c>
      <c r="D15" s="4">
        <v>0.0</v>
      </c>
      <c r="E15" s="4" t="s">
        <v>33</v>
      </c>
      <c r="F15" s="4" t="str">
        <f>IMAGE("https://mcgrathscove.ca/connor/isaaccostumes/263_lordoftheflies_head.png")</f>
        <v/>
      </c>
    </row>
    <row r="16" ht="37.5" customHeight="1">
      <c r="A16" s="2" t="s">
        <v>37</v>
      </c>
      <c r="B16" s="2">
        <v>3.0</v>
      </c>
      <c r="C16" s="2" t="s">
        <v>24</v>
      </c>
      <c r="D16" s="2">
        <v>0.0</v>
      </c>
      <c r="E16" s="2" t="s">
        <v>38</v>
      </c>
      <c r="F16" s="2" t="str">
        <f>IMAGE("https://mcgrathscove.ca/connor/isaaccostumes/263_lordoftheflies_top0.png")</f>
        <v/>
      </c>
    </row>
    <row r="17" ht="37.5" customHeight="1">
      <c r="A17" s="4" t="s">
        <v>39</v>
      </c>
      <c r="B17" s="4">
        <v>4.0</v>
      </c>
      <c r="C17" s="4" t="s">
        <v>20</v>
      </c>
      <c r="D17" s="4">
        <v>0.0</v>
      </c>
      <c r="E17" s="4" t="s">
        <v>33</v>
      </c>
      <c r="F17" s="4" t="str">
        <f>IMAGE("https://mcgrathscove.ca/connor/isaaccostumes/004_maxs_head_head.png")</f>
        <v/>
      </c>
    </row>
    <row r="18" ht="37.5" customHeight="1">
      <c r="A18" s="2" t="s">
        <v>40</v>
      </c>
      <c r="B18" s="2">
        <v>4.0</v>
      </c>
      <c r="C18" s="2" t="s">
        <v>24</v>
      </c>
      <c r="D18" s="2">
        <v>50.0</v>
      </c>
      <c r="E18" s="2" t="s">
        <v>8</v>
      </c>
      <c r="F18" s="2" t="str">
        <f>IMAGE("https://mcgrathscove.ca/connor/isaaccostumes/210_gnawedleaf_statue_body.png")</f>
        <v/>
      </c>
    </row>
    <row r="19" ht="37.5" customHeight="1">
      <c r="A19" s="4" t="s">
        <v>40</v>
      </c>
      <c r="B19" s="4">
        <v>4.0</v>
      </c>
      <c r="C19" s="4" t="s">
        <v>24</v>
      </c>
      <c r="D19" s="4">
        <v>50.0</v>
      </c>
      <c r="E19" s="4" t="s">
        <v>33</v>
      </c>
      <c r="F19" s="4" t="str">
        <f>IMAGE("https://mcgrathscove.ca/connor/isaaccostumes/210_gnawedleaf_statue_head.png")</f>
        <v/>
      </c>
    </row>
    <row r="20" ht="37.5" customHeight="1">
      <c r="A20" s="2" t="s">
        <v>40</v>
      </c>
      <c r="B20" s="2">
        <v>4.0</v>
      </c>
      <c r="C20" s="2" t="s">
        <v>24</v>
      </c>
      <c r="D20" s="2">
        <v>50.0</v>
      </c>
      <c r="E20" s="2" t="s">
        <v>21</v>
      </c>
      <c r="F20" s="2" t="str">
        <f>IMAGE("https://mcgrathscove.ca/connor/isaaccostumes/210_gnawedleaf_statue_head0.png")</f>
        <v/>
      </c>
    </row>
    <row r="21" ht="37.5" customHeight="1">
      <c r="A21" s="4" t="s">
        <v>40</v>
      </c>
      <c r="B21" s="4">
        <v>4.0</v>
      </c>
      <c r="C21" s="4" t="s">
        <v>24</v>
      </c>
      <c r="D21" s="4">
        <v>50.0</v>
      </c>
      <c r="E21" s="4" t="s">
        <v>28</v>
      </c>
      <c r="F21" s="4" t="str">
        <f>IMAGE("https://mcgrathscove.ca/connor/isaaccostumes/210_gnawedleaf_statue_head1.png")</f>
        <v/>
      </c>
    </row>
    <row r="22" ht="37.5" customHeight="1">
      <c r="A22" s="2" t="s">
        <v>40</v>
      </c>
      <c r="B22" s="2">
        <v>4.0</v>
      </c>
      <c r="C22" s="2" t="s">
        <v>24</v>
      </c>
      <c r="D22" s="2">
        <v>50.0</v>
      </c>
      <c r="E22" s="2" t="s">
        <v>41</v>
      </c>
      <c r="F22" s="2" t="str">
        <f>IMAGE("https://mcgrathscove.ca/connor/isaaccostumes/210_gnawedleaf_statue_head2.png")</f>
        <v/>
      </c>
    </row>
    <row r="23" ht="37.5" customHeight="1">
      <c r="A23" s="4" t="s">
        <v>40</v>
      </c>
      <c r="B23" s="4">
        <v>4.0</v>
      </c>
      <c r="C23" s="4" t="s">
        <v>24</v>
      </c>
      <c r="D23" s="4">
        <v>50.0</v>
      </c>
      <c r="E23" s="4" t="s">
        <v>25</v>
      </c>
      <c r="F23" s="4" t="str">
        <f>IMAGE("https://mcgrathscove.ca/connor/isaaccostumes/210_gnawedleaf_statue_head3.png")</f>
        <v/>
      </c>
    </row>
    <row r="24" ht="37.5" customHeight="1">
      <c r="A24" s="2" t="s">
        <v>40</v>
      </c>
      <c r="B24" s="2">
        <v>4.0</v>
      </c>
      <c r="C24" s="2" t="s">
        <v>24</v>
      </c>
      <c r="D24" s="2">
        <v>50.0</v>
      </c>
      <c r="E24" s="2" t="s">
        <v>42</v>
      </c>
      <c r="F24" s="2" t="str">
        <f>IMAGE("https://mcgrathscove.ca/connor/isaaccostumes/210_gnawedleaf_statue_head4.png")</f>
        <v/>
      </c>
    </row>
    <row r="25" ht="37.5" customHeight="1">
      <c r="A25" s="4" t="s">
        <v>40</v>
      </c>
      <c r="B25" s="4">
        <v>4.0</v>
      </c>
      <c r="C25" s="4" t="s">
        <v>24</v>
      </c>
      <c r="D25" s="4">
        <v>50.0</v>
      </c>
      <c r="E25" s="4" t="s">
        <v>43</v>
      </c>
      <c r="F25" s="4" t="str">
        <f>IMAGE("https://mcgrathscove.ca/connor/isaaccostumes/210_gnawedleaf_statue_head5.png")</f>
        <v/>
      </c>
    </row>
    <row r="26" ht="37.5" customHeight="1">
      <c r="A26" s="2" t="s">
        <v>40</v>
      </c>
      <c r="B26" s="2">
        <v>4.0</v>
      </c>
      <c r="C26" s="2" t="s">
        <v>24</v>
      </c>
      <c r="D26" s="2">
        <v>50.0</v>
      </c>
      <c r="E26" s="2" t="s">
        <v>15</v>
      </c>
      <c r="F26" s="2" t="str">
        <f>IMAGE("https://mcgrathscove.ca/connor/isaaccostumes/210_gnawedleaf_statue_body0.png")</f>
        <v/>
      </c>
    </row>
    <row r="27" ht="37.5" customHeight="1">
      <c r="A27" s="4" t="s">
        <v>40</v>
      </c>
      <c r="B27" s="4">
        <v>4.0</v>
      </c>
      <c r="C27" s="4" t="s">
        <v>24</v>
      </c>
      <c r="D27" s="4">
        <v>50.0</v>
      </c>
      <c r="E27" s="4" t="s">
        <v>44</v>
      </c>
      <c r="F27" s="4" t="str">
        <f>IMAGE("https://mcgrathscove.ca/connor/isaaccostumes/210_gnawedleaf_statue_body1.png")</f>
        <v/>
      </c>
    </row>
    <row r="28" ht="37.5" customHeight="1">
      <c r="A28" s="2" t="s">
        <v>45</v>
      </c>
      <c r="B28" s="2">
        <v>5.0</v>
      </c>
      <c r="C28" s="2" t="s">
        <v>20</v>
      </c>
      <c r="D28" s="2">
        <v>0.0</v>
      </c>
      <c r="E28" s="2" t="s">
        <v>28</v>
      </c>
      <c r="F28" s="2" t="str">
        <f>IMAGE("https://mcgrathscove.ca/connor/isaaccostumes/005_my_reflection_head1.png")</f>
        <v/>
      </c>
    </row>
    <row r="29" ht="37.5" customHeight="1">
      <c r="A29" s="4" t="s">
        <v>46</v>
      </c>
      <c r="B29" s="4">
        <v>5.0</v>
      </c>
      <c r="C29" s="4" t="s">
        <v>24</v>
      </c>
      <c r="D29" s="4">
        <v>0.0</v>
      </c>
      <c r="E29" s="4" t="s">
        <v>33</v>
      </c>
      <c r="F29" s="4" t="str">
        <f>IMAGE("https://mcgrathscove.ca/connor/isaaccostumes/n005_guppy_head.png")</f>
        <v/>
      </c>
    </row>
    <row r="30" ht="37.5" customHeight="1">
      <c r="A30" s="2" t="s">
        <v>46</v>
      </c>
      <c r="B30" s="2">
        <v>5.0</v>
      </c>
      <c r="C30" s="2" t="s">
        <v>24</v>
      </c>
      <c r="D30" s="2">
        <v>0.0</v>
      </c>
      <c r="E30" s="2" t="s">
        <v>8</v>
      </c>
      <c r="F30" s="2" t="str">
        <f>IMAGE("https://mcgrathscove.ca/connor/isaaccostumes/n005_guppy_body.png")</f>
        <v/>
      </c>
    </row>
    <row r="31" ht="37.5" customHeight="1">
      <c r="A31" s="4" t="s">
        <v>46</v>
      </c>
      <c r="B31" s="4">
        <v>5.0</v>
      </c>
      <c r="C31" s="4" t="s">
        <v>24</v>
      </c>
      <c r="D31" s="4">
        <v>0.0</v>
      </c>
      <c r="E31" s="4" t="s">
        <v>38</v>
      </c>
      <c r="F31" s="4" t="str">
        <f>IMAGE("https://mcgrathscove.ca/connor/isaaccostumes/n005_guppy_top0.png")</f>
        <v/>
      </c>
    </row>
    <row r="32" ht="37.5" customHeight="1">
      <c r="A32" s="2" t="s">
        <v>47</v>
      </c>
      <c r="B32" s="2">
        <v>6.0</v>
      </c>
      <c r="C32" s="2" t="s">
        <v>20</v>
      </c>
      <c r="D32" s="2">
        <v>0.0</v>
      </c>
      <c r="E32" s="2" t="s">
        <v>33</v>
      </c>
      <c r="F32" s="2" t="str">
        <f>IMAGE("https://mcgrathscove.ca/connor/isaaccostumes/006_number_one_head.png")</f>
        <v/>
      </c>
    </row>
    <row r="33" ht="37.5" customHeight="1">
      <c r="A33" s="4" t="s">
        <v>48</v>
      </c>
      <c r="B33" s="4">
        <v>6.0</v>
      </c>
      <c r="C33" s="4" t="s">
        <v>24</v>
      </c>
      <c r="D33" s="4">
        <v>0.0</v>
      </c>
      <c r="E33" s="4" t="s">
        <v>33</v>
      </c>
      <c r="F33" s="4" t="str">
        <f>IMAGE("https://mcgrathscove.ca/connor/isaaccostumes/n006_ruawizard_head.png")</f>
        <v/>
      </c>
    </row>
    <row r="34" ht="37.5" customHeight="1">
      <c r="A34" s="2" t="s">
        <v>49</v>
      </c>
      <c r="B34" s="2">
        <v>7.0</v>
      </c>
      <c r="C34" s="2" t="s">
        <v>20</v>
      </c>
      <c r="D34" s="2">
        <v>0.0</v>
      </c>
      <c r="E34" s="2" t="s">
        <v>42</v>
      </c>
      <c r="F34" s="2" t="str">
        <f>IMAGE("https://mcgrathscove.ca/connor/isaaccostumes/007_blood_of_the_martyr_head4.png")</f>
        <v/>
      </c>
    </row>
    <row r="35" ht="37.5" customHeight="1">
      <c r="A35" s="4" t="s">
        <v>50</v>
      </c>
      <c r="B35" s="4">
        <v>7.0</v>
      </c>
      <c r="C35" s="4" t="s">
        <v>24</v>
      </c>
      <c r="D35" s="4">
        <v>99.0</v>
      </c>
      <c r="E35" s="4" t="s">
        <v>21</v>
      </c>
      <c r="F35" s="4" t="str">
        <f>IMAGE("https://mcgrathscove.ca/connor/isaaccostumes/character_002_magdalenehead_head0.png")</f>
        <v/>
      </c>
    </row>
    <row r="36" ht="37.5" customHeight="1">
      <c r="A36" s="2" t="s">
        <v>51</v>
      </c>
      <c r="B36" s="2">
        <v>8.0</v>
      </c>
      <c r="C36" s="2" t="s">
        <v>24</v>
      </c>
      <c r="D36" s="2">
        <v>99.0</v>
      </c>
      <c r="E36" s="2" t="s">
        <v>21</v>
      </c>
      <c r="F36" s="2" t="str">
        <f>IMAGE("https://mcgrathscove.ca/connor/isaaccostumes/character_003_cainseyepatch_head0.png")</f>
        <v/>
      </c>
    </row>
    <row r="37" ht="37.5" customHeight="1">
      <c r="A37" s="4" t="s">
        <v>52</v>
      </c>
      <c r="B37" s="4">
        <v>9.0</v>
      </c>
      <c r="C37" s="4" t="s">
        <v>20</v>
      </c>
      <c r="D37" s="4">
        <v>0.0</v>
      </c>
      <c r="E37" s="4" t="s">
        <v>42</v>
      </c>
      <c r="F37" s="4" t="str">
        <f>IMAGE("https://mcgrathscove.ca/connor/isaaccostumes/009_skatole_head4.png")</f>
        <v/>
      </c>
    </row>
    <row r="38" ht="37.5" customHeight="1">
      <c r="A38" s="2" t="s">
        <v>53</v>
      </c>
      <c r="B38" s="2">
        <v>9.0</v>
      </c>
      <c r="C38" s="2" t="s">
        <v>24</v>
      </c>
      <c r="D38" s="2">
        <v>99.0</v>
      </c>
      <c r="E38" s="2" t="s">
        <v>21</v>
      </c>
      <c r="F38" s="2" t="str">
        <f>IMAGE("https://mcgrathscove.ca/connor/isaaccostumes/character_004_judasfez_head0.png")</f>
        <v/>
      </c>
    </row>
    <row r="39" ht="37.5" customHeight="1">
      <c r="A39" s="4" t="s">
        <v>54</v>
      </c>
      <c r="B39" s="4">
        <v>10.0</v>
      </c>
      <c r="C39" s="4" t="s">
        <v>24</v>
      </c>
      <c r="D39" s="4">
        <v>99.0</v>
      </c>
      <c r="E39" s="4" t="s">
        <v>21</v>
      </c>
      <c r="F39" s="4" t="str">
        <f>IMAGE("https://mcgrathscove.ca/connor/isaaccostumes/character_005_evehead_head0.png")</f>
        <v/>
      </c>
    </row>
    <row r="40" ht="37.5" customHeight="1">
      <c r="A40" s="2" t="s">
        <v>55</v>
      </c>
      <c r="B40" s="2">
        <v>12.0</v>
      </c>
      <c r="C40" s="2" t="s">
        <v>24</v>
      </c>
      <c r="D40" s="2">
        <v>99.0</v>
      </c>
      <c r="E40" s="2" t="s">
        <v>21</v>
      </c>
      <c r="F40" s="2" t="str">
        <f>IMAGE("https://mcgrathscove.ca/connor/isaaccostumes/character_009_edenhair1_head0.png")</f>
        <v/>
      </c>
    </row>
    <row r="41" ht="37.5" customHeight="1">
      <c r="A41" s="4" t="s">
        <v>56</v>
      </c>
      <c r="B41" s="4">
        <v>13.0</v>
      </c>
      <c r="C41" s="4" t="s">
        <v>20</v>
      </c>
      <c r="D41" s="4">
        <v>0.0</v>
      </c>
      <c r="E41" s="4" t="s">
        <v>33</v>
      </c>
      <c r="F41" s="4" t="str">
        <f>IMAGE("https://mcgrathscove.ca/connor/isaaccostumes/013_the_virus_head.png")</f>
        <v/>
      </c>
    </row>
    <row r="42" ht="37.5" customHeight="1">
      <c r="A42" s="2" t="s">
        <v>57</v>
      </c>
      <c r="B42" s="2">
        <v>13.0</v>
      </c>
      <c r="C42" s="2" t="s">
        <v>24</v>
      </c>
      <c r="D42" s="2">
        <v>99.0</v>
      </c>
      <c r="E42" s="2" t="s">
        <v>21</v>
      </c>
      <c r="F42" s="2" t="str">
        <f>IMAGE("https://mcgrathscove.ca/connor/isaaccostumes/character_007_samsonhead_head0.png")</f>
        <v/>
      </c>
    </row>
    <row r="43" ht="37.5" customHeight="1">
      <c r="A43" s="4" t="s">
        <v>58</v>
      </c>
      <c r="B43" s="4">
        <v>14.0</v>
      </c>
      <c r="C43" s="4" t="s">
        <v>20</v>
      </c>
      <c r="D43" s="4">
        <v>0.0</v>
      </c>
      <c r="E43" s="4" t="s">
        <v>33</v>
      </c>
      <c r="F43" s="4" t="str">
        <f>IMAGE("https://mcgrathscove.ca/connor/isaaccostumes/014_roid_rage_head.png")</f>
        <v/>
      </c>
    </row>
    <row r="44" ht="37.5" customHeight="1">
      <c r="A44" s="2" t="s">
        <v>59</v>
      </c>
      <c r="B44" s="2">
        <v>14.0</v>
      </c>
      <c r="C44" s="2" t="s">
        <v>24</v>
      </c>
      <c r="D44" s="2">
        <v>101.0</v>
      </c>
      <c r="E44" s="2" t="s">
        <v>25</v>
      </c>
      <c r="F44" s="2" t="str">
        <f>IMAGE("https://mcgrathscove.ca/connor/isaaccostumes/n014_blindfold_head3.png")</f>
        <v/>
      </c>
    </row>
    <row r="45" ht="37.5" customHeight="1">
      <c r="A45" s="4" t="s">
        <v>60</v>
      </c>
      <c r="B45" s="4">
        <v>15.0</v>
      </c>
      <c r="C45" s="4" t="s">
        <v>20</v>
      </c>
      <c r="D45" s="4">
        <v>0.0</v>
      </c>
      <c r="E45" s="4" t="s">
        <v>41</v>
      </c>
      <c r="F45" s="4" t="str">
        <f>IMAGE("https://mcgrathscove.ca/connor/isaaccostumes/015_3_head2.png")</f>
        <v/>
      </c>
    </row>
    <row r="46" ht="37.5" customHeight="1">
      <c r="A46" s="2" t="s">
        <v>61</v>
      </c>
      <c r="B46" s="2">
        <v>15.0</v>
      </c>
      <c r="C46" s="2" t="s">
        <v>24</v>
      </c>
      <c r="D46" s="2">
        <v>100.0</v>
      </c>
      <c r="E46" s="2" t="s">
        <v>33</v>
      </c>
      <c r="F46" s="2" t="str">
        <f>IMAGE("https://mcgrathscove.ca/connor/isaaccostumes/n015_blank_head.png")</f>
        <v/>
      </c>
    </row>
    <row r="47" ht="37.5" customHeight="1">
      <c r="A47" s="4" t="s">
        <v>62</v>
      </c>
      <c r="B47" s="4">
        <v>16.0</v>
      </c>
      <c r="C47" s="4" t="s">
        <v>20</v>
      </c>
      <c r="D47" s="4">
        <v>0.0</v>
      </c>
      <c r="E47" s="4" t="s">
        <v>15</v>
      </c>
      <c r="F47" s="4" t="str">
        <f>IMAGE("https://mcgrathscove.ca/connor/isaaccostumes/016_raw_liver_body0.png")</f>
        <v/>
      </c>
    </row>
    <row r="48" ht="37.5" customHeight="1">
      <c r="A48" s="2" t="s">
        <v>63</v>
      </c>
      <c r="B48" s="2">
        <v>16.0</v>
      </c>
      <c r="C48" s="2" t="s">
        <v>24</v>
      </c>
      <c r="D48" s="2">
        <v>0.0</v>
      </c>
      <c r="E48" s="2" t="s">
        <v>43</v>
      </c>
      <c r="F48" s="2" t="str">
        <f>IMAGE("https://mcgrathscove.ca/connor/isaaccostumes/n016_christmas_head5.png")</f>
        <v/>
      </c>
    </row>
    <row r="49" ht="37.5" customHeight="1">
      <c r="A49" s="4" t="s">
        <v>64</v>
      </c>
      <c r="B49" s="4">
        <v>17.0</v>
      </c>
      <c r="C49" s="4" t="s">
        <v>20</v>
      </c>
      <c r="D49" s="4">
        <v>0.0</v>
      </c>
      <c r="E49" s="4" t="s">
        <v>28</v>
      </c>
      <c r="F49" s="4" t="str">
        <f>IMAGE("https://mcgrathscove.ca/connor/isaaccostumes/017_skeleton_key_head1.png")</f>
        <v/>
      </c>
    </row>
    <row r="50" ht="37.5" customHeight="1">
      <c r="A50" s="2" t="s">
        <v>65</v>
      </c>
      <c r="B50" s="2">
        <v>17.0</v>
      </c>
      <c r="C50" s="2" t="s">
        <v>24</v>
      </c>
      <c r="D50" s="2">
        <v>2.0</v>
      </c>
      <c r="E50" s="2" t="s">
        <v>66</v>
      </c>
      <c r="F50" s="2" t="str">
        <f>IMAGE("https://mcgrathscove.ca/connor/isaaccostumes/n017_purity_glow_glow.png")</f>
        <v/>
      </c>
    </row>
    <row r="51" ht="37.5" customHeight="1">
      <c r="A51" s="4" t="s">
        <v>67</v>
      </c>
      <c r="B51" s="4">
        <v>18.0</v>
      </c>
      <c r="C51" s="4" t="s">
        <v>24</v>
      </c>
      <c r="D51" s="4">
        <v>0.0</v>
      </c>
      <c r="E51" s="4" t="s">
        <v>33</v>
      </c>
      <c r="F51" s="4" t="str">
        <f>IMAGE("https://mcgrathscove.ca/connor/isaaccostumes/n018_empty_vessel_head.png")</f>
        <v/>
      </c>
    </row>
    <row r="52" ht="37.5" customHeight="1">
      <c r="A52" s="2" t="s">
        <v>67</v>
      </c>
      <c r="B52" s="2">
        <v>18.0</v>
      </c>
      <c r="C52" s="2" t="s">
        <v>24</v>
      </c>
      <c r="D52" s="2">
        <v>0.0</v>
      </c>
      <c r="E52" s="2" t="s">
        <v>8</v>
      </c>
      <c r="F52" s="2" t="str">
        <f>IMAGE("https://mcgrathscove.ca/connor/isaaccostumes/n018_empty_vessel_body.png")</f>
        <v/>
      </c>
    </row>
    <row r="53" ht="37.5" customHeight="1">
      <c r="A53" s="4" t="s">
        <v>67</v>
      </c>
      <c r="B53" s="4">
        <v>18.0</v>
      </c>
      <c r="C53" s="4" t="s">
        <v>24</v>
      </c>
      <c r="D53" s="4">
        <v>0.0</v>
      </c>
      <c r="E53" s="4" t="s">
        <v>38</v>
      </c>
      <c r="F53" s="4" t="str">
        <f>IMAGE("https://mcgrathscove.ca/connor/isaaccostumes/n018_empty_vessel_top0.png")</f>
        <v/>
      </c>
    </row>
    <row r="54" ht="37.5" customHeight="1">
      <c r="A54" s="2" t="s">
        <v>68</v>
      </c>
      <c r="B54" s="2">
        <v>19.0</v>
      </c>
      <c r="C54" s="2" t="s">
        <v>20</v>
      </c>
      <c r="D54" s="2">
        <v>0.0</v>
      </c>
      <c r="E54" s="2" t="s">
        <v>28</v>
      </c>
      <c r="F54" s="2" t="str">
        <f>IMAGE("https://mcgrathscove.ca/connor/isaaccostumes/019_boom_head1.png")</f>
        <v/>
      </c>
    </row>
    <row r="55" ht="37.5" customHeight="1">
      <c r="A55" s="4" t="s">
        <v>69</v>
      </c>
      <c r="B55" s="4">
        <v>19.0</v>
      </c>
      <c r="C55" s="4" t="s">
        <v>24</v>
      </c>
      <c r="D55" s="4">
        <v>2.0</v>
      </c>
      <c r="E55" s="4" t="s">
        <v>43</v>
      </c>
      <c r="F55" s="4" t="str">
        <f>IMAGE("https://mcgrathscove.ca/connor/isaaccostumes/n019_mawmark_head5.png")</f>
        <v/>
      </c>
    </row>
    <row r="56" ht="37.5" customHeight="1">
      <c r="A56" s="2" t="s">
        <v>70</v>
      </c>
      <c r="B56" s="2">
        <v>20.0</v>
      </c>
      <c r="C56" s="2" t="s">
        <v>20</v>
      </c>
      <c r="D56" s="2">
        <v>100.0</v>
      </c>
      <c r="E56" s="2" t="s">
        <v>8</v>
      </c>
      <c r="F56" s="2" t="str">
        <f>IMAGE("https://mcgrathscove.ca/connor/isaaccostumes/020_transcendence_body.png")</f>
        <v/>
      </c>
    </row>
    <row r="57" ht="37.5" customHeight="1">
      <c r="A57" s="4" t="s">
        <v>70</v>
      </c>
      <c r="B57" s="4">
        <v>20.0</v>
      </c>
      <c r="C57" s="4" t="s">
        <v>20</v>
      </c>
      <c r="D57" s="4">
        <v>100.0</v>
      </c>
      <c r="E57" s="4" t="s">
        <v>44</v>
      </c>
      <c r="F57" s="4" t="str">
        <f>IMAGE("https://mcgrathscove.ca/connor/isaaccostumes/020_transcendence_body1.png")</f>
        <v/>
      </c>
    </row>
    <row r="58" ht="37.5" customHeight="1">
      <c r="A58" s="2" t="s">
        <v>70</v>
      </c>
      <c r="B58" s="2">
        <v>20.0</v>
      </c>
      <c r="C58" s="2" t="s">
        <v>20</v>
      </c>
      <c r="D58" s="2">
        <v>100.0</v>
      </c>
      <c r="E58" s="2" t="s">
        <v>15</v>
      </c>
      <c r="F58" s="2" t="str">
        <f>IMAGE("https://mcgrathscove.ca/connor/isaaccostumes/020_transcendence_body0.png")</f>
        <v/>
      </c>
    </row>
    <row r="59" ht="37.5" customHeight="1">
      <c r="A59" s="4" t="s">
        <v>70</v>
      </c>
      <c r="B59" s="4">
        <v>20.0</v>
      </c>
      <c r="C59" s="4" t="s">
        <v>20</v>
      </c>
      <c r="D59" s="4">
        <v>100.0</v>
      </c>
      <c r="E59" s="4" t="s">
        <v>38</v>
      </c>
      <c r="F59" s="4" t="str">
        <f>IMAGE("https://mcgrathscove.ca/connor/isaaccostumes/020_transcendence_top0.png")</f>
        <v/>
      </c>
    </row>
    <row r="60" ht="37.5" customHeight="1">
      <c r="A60" s="2" t="s">
        <v>71</v>
      </c>
      <c r="B60" s="2">
        <v>20.0</v>
      </c>
      <c r="C60" s="2" t="s">
        <v>24</v>
      </c>
      <c r="D60" s="2">
        <v>19.0</v>
      </c>
      <c r="E60" s="2" t="s">
        <v>8</v>
      </c>
      <c r="F60" s="2" t="str">
        <f>IMAGE("https://mcgrathscove.ca/connor/isaaccostumes/n020_transformation_mushroom_body.png")</f>
        <v/>
      </c>
    </row>
    <row r="61" ht="37.5" customHeight="1">
      <c r="A61" s="4" t="s">
        <v>71</v>
      </c>
      <c r="B61" s="4">
        <v>20.0</v>
      </c>
      <c r="C61" s="4" t="s">
        <v>24</v>
      </c>
      <c r="D61" s="4">
        <v>19.0</v>
      </c>
      <c r="E61" s="4" t="s">
        <v>33</v>
      </c>
      <c r="F61" s="4" t="str">
        <f>IMAGE("https://mcgrathscove.ca/connor/isaaccostumes/n020_transformation_mushroom_head.png")</f>
        <v/>
      </c>
    </row>
    <row r="62" ht="37.5" customHeight="1">
      <c r="A62" s="2" t="s">
        <v>72</v>
      </c>
      <c r="B62" s="2">
        <v>21.0</v>
      </c>
      <c r="C62" s="2" t="s">
        <v>24</v>
      </c>
      <c r="D62" s="2">
        <v>19.0</v>
      </c>
      <c r="E62" s="2" t="s">
        <v>8</v>
      </c>
      <c r="F62" s="2" t="str">
        <f>IMAGE("https://mcgrathscove.ca/connor/isaaccostumes/n021_transformation_angel_body.png")</f>
        <v/>
      </c>
    </row>
    <row r="63" ht="37.5" customHeight="1">
      <c r="A63" s="4" t="s">
        <v>72</v>
      </c>
      <c r="B63" s="4">
        <v>21.0</v>
      </c>
      <c r="C63" s="4" t="s">
        <v>24</v>
      </c>
      <c r="D63" s="4">
        <v>19.0</v>
      </c>
      <c r="E63" s="4" t="s">
        <v>38</v>
      </c>
      <c r="F63" s="4" t="str">
        <f>IMAGE("https://mcgrathscove.ca/connor/isaaccostumes/n021_transformation_angel_top0.png")</f>
        <v/>
      </c>
    </row>
    <row r="64" ht="37.5" customHeight="1">
      <c r="A64" s="2" t="s">
        <v>72</v>
      </c>
      <c r="B64" s="2">
        <v>21.0</v>
      </c>
      <c r="C64" s="2" t="s">
        <v>24</v>
      </c>
      <c r="D64" s="2">
        <v>19.0</v>
      </c>
      <c r="E64" s="2" t="s">
        <v>33</v>
      </c>
      <c r="F64" s="2" t="str">
        <f>IMAGE("https://mcgrathscove.ca/connor/isaaccostumes/n021_transformation_angel_head.png")</f>
        <v/>
      </c>
    </row>
    <row r="65" ht="37.5" customHeight="1">
      <c r="A65" s="4" t="s">
        <v>73</v>
      </c>
      <c r="B65" s="4">
        <v>22.0</v>
      </c>
      <c r="C65" s="4" t="s">
        <v>24</v>
      </c>
      <c r="D65" s="4">
        <v>19.0</v>
      </c>
      <c r="E65" s="4" t="s">
        <v>8</v>
      </c>
      <c r="F65" s="4" t="str">
        <f>IMAGE("https://mcgrathscove.ca/connor/isaaccostumes/n022_transformation_bob_body.png")</f>
        <v/>
      </c>
    </row>
    <row r="66" ht="37.5" customHeight="1">
      <c r="A66" s="2" t="s">
        <v>73</v>
      </c>
      <c r="B66" s="2">
        <v>22.0</v>
      </c>
      <c r="C66" s="2" t="s">
        <v>24</v>
      </c>
      <c r="D66" s="2">
        <v>19.0</v>
      </c>
      <c r="E66" s="2" t="s">
        <v>33</v>
      </c>
      <c r="F66" s="2" t="str">
        <f>IMAGE("https://mcgrathscove.ca/connor/isaaccostumes/n022_transformation_bob_head.png")</f>
        <v/>
      </c>
    </row>
    <row r="67" ht="37.5" customHeight="1">
      <c r="A67" s="4" t="s">
        <v>74</v>
      </c>
      <c r="B67" s="4">
        <v>23.0</v>
      </c>
      <c r="C67" s="4" t="s">
        <v>24</v>
      </c>
      <c r="D67" s="4">
        <v>19.0</v>
      </c>
      <c r="E67" s="4" t="s">
        <v>8</v>
      </c>
      <c r="F67" s="4" t="str">
        <f>IMAGE("https://mcgrathscove.ca/connor/isaaccostumes/n023_transformation_drugs_body.png")</f>
        <v/>
      </c>
    </row>
    <row r="68" ht="37.5" customHeight="1">
      <c r="A68" s="2" t="s">
        <v>74</v>
      </c>
      <c r="B68" s="2">
        <v>23.0</v>
      </c>
      <c r="C68" s="2" t="s">
        <v>24</v>
      </c>
      <c r="D68" s="2">
        <v>19.0</v>
      </c>
      <c r="E68" s="2" t="s">
        <v>33</v>
      </c>
      <c r="F68" s="2" t="str">
        <f>IMAGE("https://mcgrathscove.ca/connor/isaaccostumes/n023_transformation_drugs_head.png")</f>
        <v/>
      </c>
    </row>
    <row r="69" ht="37.5" customHeight="1">
      <c r="A69" s="4" t="s">
        <v>75</v>
      </c>
      <c r="B69" s="4">
        <v>24.0</v>
      </c>
      <c r="C69" s="4" t="s">
        <v>24</v>
      </c>
      <c r="D69" s="4">
        <v>19.0</v>
      </c>
      <c r="E69" s="4" t="s">
        <v>8</v>
      </c>
      <c r="F69" s="4" t="str">
        <f>IMAGE("https://mcgrathscove.ca/connor/isaaccostumes/n024_transformation_mom_body.png")</f>
        <v/>
      </c>
    </row>
    <row r="70" ht="37.5" customHeight="1">
      <c r="A70" s="2" t="s">
        <v>75</v>
      </c>
      <c r="B70" s="2">
        <v>24.0</v>
      </c>
      <c r="C70" s="2" t="s">
        <v>24</v>
      </c>
      <c r="D70" s="2">
        <v>19.0</v>
      </c>
      <c r="E70" s="2" t="s">
        <v>15</v>
      </c>
      <c r="F70" s="2" t="str">
        <f>IMAGE("https://mcgrathscove.ca/connor/isaaccostumes/n024_transformation_mom_body0.png")</f>
        <v/>
      </c>
    </row>
    <row r="71" ht="37.5" customHeight="1">
      <c r="A71" s="4" t="s">
        <v>76</v>
      </c>
      <c r="B71" s="4">
        <v>25.0</v>
      </c>
      <c r="C71" s="4" t="s">
        <v>24</v>
      </c>
      <c r="D71" s="4">
        <v>19.0</v>
      </c>
      <c r="E71" s="4" t="s">
        <v>33</v>
      </c>
      <c r="F71" s="4" t="str">
        <f>IMAGE("https://mcgrathscove.ca/connor/isaaccostumes/n025_transformation_baby_head.png")</f>
        <v/>
      </c>
    </row>
    <row r="72" ht="37.5" customHeight="1">
      <c r="A72" s="2" t="s">
        <v>77</v>
      </c>
      <c r="B72" s="2">
        <v>26.0</v>
      </c>
      <c r="C72" s="2" t="s">
        <v>24</v>
      </c>
      <c r="D72" s="2">
        <v>19.0</v>
      </c>
      <c r="E72" s="2" t="s">
        <v>38</v>
      </c>
      <c r="F72" s="2" t="str">
        <f>IMAGE("https://mcgrathscove.ca/connor/isaaccostumes/n026_transformation_evilangel_top0.png")</f>
        <v/>
      </c>
    </row>
    <row r="73" ht="37.5" customHeight="1">
      <c r="A73" s="4" t="s">
        <v>77</v>
      </c>
      <c r="B73" s="4">
        <v>26.0</v>
      </c>
      <c r="C73" s="4" t="s">
        <v>24</v>
      </c>
      <c r="D73" s="4">
        <v>19.0</v>
      </c>
      <c r="E73" s="4" t="s">
        <v>8</v>
      </c>
      <c r="F73" s="4" t="str">
        <f>IMAGE("https://mcgrathscove.ca/connor/isaaccostumes/n026_transformation_evilangel_body.png")</f>
        <v/>
      </c>
    </row>
    <row r="74" ht="37.5" customHeight="1">
      <c r="A74" s="2" t="s">
        <v>77</v>
      </c>
      <c r="B74" s="2">
        <v>26.0</v>
      </c>
      <c r="C74" s="2" t="s">
        <v>24</v>
      </c>
      <c r="D74" s="2">
        <v>19.0</v>
      </c>
      <c r="E74" s="2" t="s">
        <v>33</v>
      </c>
      <c r="F74" s="2" t="str">
        <f>IMAGE("https://mcgrathscove.ca/connor/isaaccostumes/n026_transformation_evilangel_head.png")</f>
        <v/>
      </c>
    </row>
    <row r="75" ht="37.5" customHeight="1">
      <c r="A75" s="4" t="s">
        <v>78</v>
      </c>
      <c r="B75" s="4">
        <v>27.0</v>
      </c>
      <c r="C75" s="4" t="s">
        <v>20</v>
      </c>
      <c r="D75" s="4">
        <v>0.0</v>
      </c>
      <c r="E75" s="4" t="s">
        <v>28</v>
      </c>
      <c r="F75" s="4" t="str">
        <f>IMAGE("https://mcgrathscove.ca/connor/isaaccostumes/027_wooden_spoon_head1.png")</f>
        <v/>
      </c>
    </row>
    <row r="76" ht="37.5" customHeight="1">
      <c r="A76" s="2" t="s">
        <v>79</v>
      </c>
      <c r="B76" s="2">
        <v>27.0</v>
      </c>
      <c r="C76" s="2" t="s">
        <v>24</v>
      </c>
      <c r="D76" s="2">
        <v>19.0</v>
      </c>
      <c r="E76" s="2" t="s">
        <v>8</v>
      </c>
      <c r="F76" s="2" t="str">
        <f>IMAGE("https://mcgrathscove.ca/connor/isaaccostumes/n027_transformation_poop_body.png")</f>
        <v/>
      </c>
    </row>
    <row r="77" ht="37.5" customHeight="1">
      <c r="A77" s="4" t="s">
        <v>79</v>
      </c>
      <c r="B77" s="4">
        <v>27.0</v>
      </c>
      <c r="C77" s="4" t="s">
        <v>24</v>
      </c>
      <c r="D77" s="4">
        <v>19.0</v>
      </c>
      <c r="E77" s="4" t="s">
        <v>33</v>
      </c>
      <c r="F77" s="4" t="str">
        <f>IMAGE("https://mcgrathscove.ca/connor/isaaccostumes/n027_transformation_poop_head.png")</f>
        <v/>
      </c>
    </row>
    <row r="78" ht="37.5" customHeight="1">
      <c r="A78" s="2" t="s">
        <v>80</v>
      </c>
      <c r="B78" s="2">
        <v>28.0</v>
      </c>
      <c r="C78" s="2" t="s">
        <v>20</v>
      </c>
      <c r="D78" s="2">
        <v>0.0</v>
      </c>
      <c r="E78" s="2" t="s">
        <v>15</v>
      </c>
      <c r="F78" s="2" t="str">
        <f>IMAGE("https://mcgrathscove.ca/connor/isaaccostumes/028_the_belt_body0.png")</f>
        <v/>
      </c>
    </row>
    <row r="79" ht="37.5" customHeight="1">
      <c r="A79" s="4" t="s">
        <v>81</v>
      </c>
      <c r="B79" s="4">
        <v>29.0</v>
      </c>
      <c r="C79" s="4" t="s">
        <v>20</v>
      </c>
      <c r="D79" s="4">
        <v>0.0</v>
      </c>
      <c r="E79" s="4" t="s">
        <v>15</v>
      </c>
      <c r="F79" s="4" t="str">
        <f>IMAGE("https://mcgrathscove.ca/connor/isaaccostumes/029_moms_underwear_body0.png")</f>
        <v/>
      </c>
    </row>
    <row r="80" ht="37.5" customHeight="1">
      <c r="A80" s="2" t="s">
        <v>82</v>
      </c>
      <c r="B80" s="2">
        <v>29.0</v>
      </c>
      <c r="C80" s="2" t="s">
        <v>24</v>
      </c>
      <c r="D80" s="2">
        <v>19.0</v>
      </c>
      <c r="E80" s="2" t="s">
        <v>33</v>
      </c>
      <c r="F80" s="2" t="str">
        <f>IMAGE("https://mcgrathscove.ca/connor/isaaccostumes/n029_overdose_head.png")</f>
        <v/>
      </c>
    </row>
    <row r="81" ht="37.5" customHeight="1">
      <c r="A81" s="4" t="s">
        <v>83</v>
      </c>
      <c r="B81" s="4">
        <v>30.0</v>
      </c>
      <c r="C81" s="4" t="s">
        <v>20</v>
      </c>
      <c r="D81" s="4">
        <v>0.0</v>
      </c>
      <c r="E81" s="4" t="s">
        <v>15</v>
      </c>
      <c r="F81" s="4" t="str">
        <f>IMAGE("https://mcgrathscove.ca/connor/isaaccostumes/030_moms_heels_body0.png")</f>
        <v/>
      </c>
    </row>
    <row r="82" ht="37.5" customHeight="1">
      <c r="A82" s="2" t="s">
        <v>84</v>
      </c>
      <c r="B82" s="2">
        <v>30.0</v>
      </c>
      <c r="C82" s="2" t="s">
        <v>24</v>
      </c>
      <c r="D82" s="2">
        <v>100.0</v>
      </c>
      <c r="E82" s="2" t="s">
        <v>8</v>
      </c>
      <c r="F82" s="2" t="str">
        <f>IMAGE("https://mcgrathscove.ca/connor/isaaccostumes/n030_boomerang_body.png")</f>
        <v/>
      </c>
    </row>
    <row r="83" ht="37.5" customHeight="1">
      <c r="A83" s="4" t="s">
        <v>85</v>
      </c>
      <c r="B83" s="4">
        <v>31.0</v>
      </c>
      <c r="C83" s="4" t="s">
        <v>20</v>
      </c>
      <c r="D83" s="4">
        <v>0.0</v>
      </c>
      <c r="E83" s="4" t="s">
        <v>41</v>
      </c>
      <c r="F83" s="4" t="str">
        <f>IMAGE("https://mcgrathscove.ca/connor/isaaccostumes/031_moms_lipstick_head2.png")</f>
        <v/>
      </c>
    </row>
    <row r="84" ht="37.5" customHeight="1">
      <c r="A84" s="2" t="s">
        <v>86</v>
      </c>
      <c r="B84" s="2">
        <v>31.0</v>
      </c>
      <c r="C84" s="2" t="s">
        <v>24</v>
      </c>
      <c r="D84" s="2">
        <v>100.0</v>
      </c>
      <c r="E84" s="2" t="s">
        <v>33</v>
      </c>
      <c r="F84" s="2" t="str">
        <f>IMAGE("https://mcgrathscove.ca/connor/isaaccostumes/n031_megablast_head.png")</f>
        <v/>
      </c>
    </row>
    <row r="85" ht="37.5" customHeight="1">
      <c r="A85" s="4" t="s">
        <v>87</v>
      </c>
      <c r="B85" s="4">
        <v>32.0</v>
      </c>
      <c r="C85" s="4" t="s">
        <v>20</v>
      </c>
      <c r="D85" s="4">
        <v>0.0</v>
      </c>
      <c r="E85" s="4" t="s">
        <v>41</v>
      </c>
      <c r="F85" s="4" t="str">
        <f>IMAGE("https://mcgrathscove.ca/connor/isaaccostumes/032_wire_coat_hanger_head2.png")</f>
        <v/>
      </c>
    </row>
    <row r="86" ht="37.5" customHeight="1">
      <c r="A86" s="2" t="s">
        <v>88</v>
      </c>
      <c r="B86" s="2">
        <v>32.0</v>
      </c>
      <c r="C86" s="2" t="s">
        <v>24</v>
      </c>
      <c r="D86" s="2">
        <v>99.0</v>
      </c>
      <c r="E86" s="2" t="s">
        <v>21</v>
      </c>
      <c r="F86" s="2" t="str">
        <f>IMAGE("https://mcgrathscove.ca/connor/isaaccostumes/character_lazarushair1_head0.png")</f>
        <v/>
      </c>
    </row>
    <row r="87" ht="37.5" customHeight="1">
      <c r="A87" s="4" t="s">
        <v>89</v>
      </c>
      <c r="B87" s="4">
        <v>33.0</v>
      </c>
      <c r="C87" s="4" t="s">
        <v>24</v>
      </c>
      <c r="D87" s="4">
        <v>99.0</v>
      </c>
      <c r="E87" s="4" t="s">
        <v>21</v>
      </c>
      <c r="F87" s="4" t="str">
        <f>IMAGE("https://mcgrathscove.ca/connor/isaaccostumes/character_lazarushair2_head0.png")</f>
        <v/>
      </c>
    </row>
    <row r="88" ht="37.5" customHeight="1">
      <c r="A88" s="2" t="s">
        <v>90</v>
      </c>
      <c r="B88" s="2">
        <v>34.0</v>
      </c>
      <c r="C88" s="2" t="s">
        <v>91</v>
      </c>
      <c r="D88" s="2">
        <v>0.0</v>
      </c>
      <c r="E88" s="2" t="s">
        <v>33</v>
      </c>
      <c r="F88" s="2" t="str">
        <f>IMAGE("https://mcgrathscove.ca/connor/isaaccostumes/034_the_book_of_belial_head.png")</f>
        <v/>
      </c>
    </row>
    <row r="89" ht="37.5" customHeight="1">
      <c r="A89" s="4" t="s">
        <v>92</v>
      </c>
      <c r="B89" s="4">
        <v>34.0</v>
      </c>
      <c r="C89" s="4" t="s">
        <v>24</v>
      </c>
      <c r="D89" s="4">
        <v>99.0</v>
      </c>
      <c r="E89" s="4" t="s">
        <v>25</v>
      </c>
      <c r="F89" s="4" t="str">
        <f>IMAGE("https://mcgrathscove.ca/connor/isaaccostumes/character_lilithhair_head3.png")</f>
        <v/>
      </c>
    </row>
    <row r="90" ht="37.5" customHeight="1">
      <c r="A90" s="2" t="s">
        <v>93</v>
      </c>
      <c r="B90" s="2">
        <v>35.0</v>
      </c>
      <c r="C90" s="2" t="s">
        <v>24</v>
      </c>
      <c r="D90" s="2">
        <v>100.0</v>
      </c>
      <c r="E90" s="2" t="s">
        <v>8</v>
      </c>
      <c r="F90" s="2" t="str">
        <f>IMAGE("https://mcgrathscove.ca/connor/isaaccostumes/n028_transformation_iwata_body.png")</f>
        <v/>
      </c>
    </row>
    <row r="91" ht="37.5" customHeight="1">
      <c r="A91" s="4" t="s">
        <v>93</v>
      </c>
      <c r="B91" s="4">
        <v>35.0</v>
      </c>
      <c r="C91" s="4" t="s">
        <v>24</v>
      </c>
      <c r="D91" s="4">
        <v>100.0</v>
      </c>
      <c r="E91" s="4" t="s">
        <v>33</v>
      </c>
      <c r="F91" s="4" t="str">
        <f>IMAGE("https://mcgrathscove.ca/connor/isaaccostumes/n028_transformation_iwata_head.png")</f>
        <v/>
      </c>
    </row>
    <row r="92" ht="37.5" customHeight="1">
      <c r="A92" s="2" t="s">
        <v>94</v>
      </c>
      <c r="B92" s="2">
        <v>36.0</v>
      </c>
      <c r="C92" s="2" t="s">
        <v>24</v>
      </c>
      <c r="D92" s="2">
        <v>1.0</v>
      </c>
      <c r="E92" s="2" t="s">
        <v>8</v>
      </c>
      <c r="F92" s="2" t="str">
        <f>IMAGE("https://mcgrathscove.ca/connor/isaaccostumes/character_015_apollyonbody_body.png")</f>
        <v/>
      </c>
    </row>
    <row r="93" ht="37.5" customHeight="1">
      <c r="A93" s="4" t="s">
        <v>94</v>
      </c>
      <c r="B93" s="4">
        <v>36.0</v>
      </c>
      <c r="C93" s="4" t="s">
        <v>24</v>
      </c>
      <c r="D93" s="4">
        <v>1.0</v>
      </c>
      <c r="E93" s="4" t="s">
        <v>21</v>
      </c>
      <c r="F93" s="4" t="str">
        <f>IMAGE("https://mcgrathscove.ca/connor/isaaccostumes/character_015_apollyonbody_head0.png")</f>
        <v/>
      </c>
    </row>
    <row r="94" ht="37.5" customHeight="1">
      <c r="A94" s="2" t="s">
        <v>95</v>
      </c>
      <c r="B94" s="2">
        <v>37.0</v>
      </c>
      <c r="C94" s="2" t="s">
        <v>24</v>
      </c>
      <c r="D94" s="2">
        <v>99.0</v>
      </c>
      <c r="E94" s="2" t="s">
        <v>41</v>
      </c>
      <c r="F94" s="2" t="str">
        <f>IMAGE("https://mcgrathscove.ca/connor/isaaccostumes/n032_transformation_bookworm_head2.png")</f>
        <v/>
      </c>
    </row>
    <row r="95" ht="37.5" customHeight="1">
      <c r="A95" s="4" t="s">
        <v>96</v>
      </c>
      <c r="B95" s="4">
        <v>38.0</v>
      </c>
      <c r="C95" s="4" t="s">
        <v>24</v>
      </c>
      <c r="D95" s="4">
        <v>99.0</v>
      </c>
      <c r="E95" s="4" t="s">
        <v>41</v>
      </c>
      <c r="F95" s="4" t="str">
        <f>IMAGE("https://mcgrathscove.ca/connor/isaaccostumes/n033_transformation_adulthood_head2.png")</f>
        <v/>
      </c>
    </row>
    <row r="96" ht="37.5" customHeight="1">
      <c r="A96" s="2" t="s">
        <v>97</v>
      </c>
      <c r="B96" s="2">
        <v>39.0</v>
      </c>
      <c r="C96" s="2" t="s">
        <v>91</v>
      </c>
      <c r="D96" s="2">
        <v>0.0</v>
      </c>
      <c r="E96" s="2" t="s">
        <v>42</v>
      </c>
      <c r="F96" s="2" t="str">
        <f>IMAGE("https://mcgrathscove.ca/connor/isaaccostumes/039_moms_bra_head4.png")</f>
        <v/>
      </c>
    </row>
    <row r="97" ht="37.5" customHeight="1">
      <c r="A97" s="4" t="s">
        <v>98</v>
      </c>
      <c r="B97" s="4">
        <v>39.0</v>
      </c>
      <c r="C97" s="4" t="s">
        <v>24</v>
      </c>
      <c r="D97" s="4">
        <v>99.0</v>
      </c>
      <c r="E97" s="4" t="s">
        <v>28</v>
      </c>
      <c r="F97" s="4" t="str">
        <f>IMAGE("https://mcgrathscove.ca/connor/isaaccostumes/n034_transformation_spiderbaby_head1.png")</f>
        <v/>
      </c>
    </row>
    <row r="98" ht="37.5" customHeight="1">
      <c r="A98" s="2" t="s">
        <v>99</v>
      </c>
      <c r="B98" s="2">
        <v>40.0</v>
      </c>
      <c r="C98" s="2" t="s">
        <v>20</v>
      </c>
      <c r="D98" s="2">
        <v>0.0</v>
      </c>
      <c r="E98" s="2" t="s">
        <v>44</v>
      </c>
      <c r="F98" s="2" t="str">
        <f>IMAGE("https://mcgrathscove.ca/connor/isaaccostumes/040_kamikaze_body1.png")</f>
        <v/>
      </c>
    </row>
    <row r="99" ht="37.5" customHeight="1">
      <c r="A99" s="4" t="s">
        <v>100</v>
      </c>
      <c r="B99" s="4">
        <v>40.0</v>
      </c>
      <c r="C99" s="4" t="s">
        <v>101</v>
      </c>
      <c r="D99" s="4">
        <v>0.0</v>
      </c>
      <c r="E99" s="4" t="s">
        <v>8</v>
      </c>
      <c r="F99" s="4" t="str">
        <f>IMAGE("https://mcgrathscove.ca/connor/isaaccostumes/126_razor_blade_body.png")</f>
        <v/>
      </c>
    </row>
    <row r="100" ht="37.5" customHeight="1">
      <c r="A100" s="2" t="s">
        <v>100</v>
      </c>
      <c r="B100" s="2">
        <v>40.0</v>
      </c>
      <c r="C100" s="2" t="s">
        <v>101</v>
      </c>
      <c r="D100" s="2">
        <v>0.0</v>
      </c>
      <c r="E100" s="2" t="s">
        <v>33</v>
      </c>
      <c r="F100" s="2" t="str">
        <f>IMAGE("https://mcgrathscove.ca/connor/isaaccostumes/126_razor_blade_head.png")</f>
        <v/>
      </c>
    </row>
    <row r="101" ht="37.5" customHeight="1">
      <c r="A101" s="4" t="s">
        <v>102</v>
      </c>
      <c r="B101" s="4">
        <v>40.0</v>
      </c>
      <c r="C101" s="4" t="s">
        <v>24</v>
      </c>
      <c r="D101" s="4">
        <v>0.0</v>
      </c>
      <c r="E101" s="4" t="s">
        <v>8</v>
      </c>
      <c r="F101" s="4" t="str">
        <f>IMAGE("https://mcgrathscove.ca/connor/isaaccostumes/t118_batwing_body.png")</f>
        <v/>
      </c>
    </row>
    <row r="102" ht="37.5" customHeight="1">
      <c r="A102" s="2" t="s">
        <v>102</v>
      </c>
      <c r="B102" s="2">
        <v>40.0</v>
      </c>
      <c r="C102" s="2" t="s">
        <v>24</v>
      </c>
      <c r="D102" s="2">
        <v>0.0</v>
      </c>
      <c r="E102" s="2" t="s">
        <v>38</v>
      </c>
      <c r="F102" s="2" t="str">
        <f>IMAGE("https://mcgrathscove.ca/connor/isaaccostumes/t118_batwing_top0.png")</f>
        <v/>
      </c>
    </row>
    <row r="103" ht="37.5" customHeight="1">
      <c r="A103" s="4" t="s">
        <v>103</v>
      </c>
      <c r="B103" s="4">
        <v>43.0</v>
      </c>
      <c r="C103" s="4" t="s">
        <v>24</v>
      </c>
      <c r="D103" s="4">
        <v>0.0</v>
      </c>
      <c r="E103" s="4" t="s">
        <v>28</v>
      </c>
      <c r="F103" s="4" t="str">
        <f>IMAGE("https://mcgrathscove.ca/connor/isaaccostumes/n043_sacrificial_altar_head1.png")</f>
        <v/>
      </c>
    </row>
    <row r="104" ht="37.5" customHeight="1">
      <c r="A104" s="2" t="s">
        <v>104</v>
      </c>
      <c r="B104" s="2">
        <v>44.0</v>
      </c>
      <c r="C104" s="2" t="s">
        <v>24</v>
      </c>
      <c r="D104" s="2">
        <v>0.0</v>
      </c>
      <c r="E104" s="2" t="s">
        <v>8</v>
      </c>
      <c r="F104" s="2" t="str">
        <f>IMAGE("https://mcgrathscove.ca/connor/isaaccostumes/character_016_theforgottenbody_body.png")</f>
        <v/>
      </c>
    </row>
    <row r="105" ht="37.5" customHeight="1">
      <c r="A105" s="4" t="s">
        <v>105</v>
      </c>
      <c r="B105" s="4">
        <v>45.0</v>
      </c>
      <c r="C105" s="4" t="s">
        <v>24</v>
      </c>
      <c r="D105" s="4">
        <v>24.0</v>
      </c>
      <c r="E105" s="4" t="s">
        <v>33</v>
      </c>
      <c r="F105" s="4" t="str">
        <f>IMAGE("https://mcgrathscove.ca/connor/isaaccostumes/n045_brimstone2_head.png")</f>
        <v/>
      </c>
    </row>
    <row r="106" ht="37.5" customHeight="1">
      <c r="A106" s="2" t="s">
        <v>105</v>
      </c>
      <c r="B106" s="2">
        <v>45.0</v>
      </c>
      <c r="C106" s="2" t="s">
        <v>24</v>
      </c>
      <c r="D106" s="2">
        <v>24.0</v>
      </c>
      <c r="E106" s="2" t="s">
        <v>8</v>
      </c>
      <c r="F106" s="2" t="str">
        <f>IMAGE("https://mcgrathscove.ca/connor/isaaccostumes/n045_brimstone2_body.png")</f>
        <v/>
      </c>
    </row>
    <row r="107" ht="37.5" customHeight="1">
      <c r="A107" s="4" t="s">
        <v>106</v>
      </c>
      <c r="B107" s="4">
        <v>46.0</v>
      </c>
      <c r="C107" s="4" t="s">
        <v>20</v>
      </c>
      <c r="D107" s="4">
        <v>0.0</v>
      </c>
      <c r="E107" s="4" t="s">
        <v>15</v>
      </c>
      <c r="F107" s="4" t="str">
        <f>IMAGE("https://mcgrathscove.ca/connor/isaaccostumes/046_lucky_foot_body0.png")</f>
        <v/>
      </c>
    </row>
    <row r="108" ht="37.5" customHeight="1">
      <c r="A108" s="2" t="s">
        <v>107</v>
      </c>
      <c r="B108" s="2">
        <v>47.0</v>
      </c>
      <c r="C108" s="2" t="s">
        <v>24</v>
      </c>
      <c r="D108" s="2">
        <v>99.0</v>
      </c>
      <c r="E108" s="2" t="s">
        <v>21</v>
      </c>
      <c r="F108" s="2" t="str">
        <f>IMAGE("https://mcgrathscove.ca/connor/isaaccostumes/character_014_keepernoose_head0.png")</f>
        <v/>
      </c>
    </row>
    <row r="109" ht="37.5" customHeight="1">
      <c r="A109" s="4" t="s">
        <v>108</v>
      </c>
      <c r="B109" s="4">
        <v>48.0</v>
      </c>
      <c r="C109" s="4" t="s">
        <v>20</v>
      </c>
      <c r="D109" s="4">
        <v>0.0</v>
      </c>
      <c r="E109" s="4" t="s">
        <v>42</v>
      </c>
      <c r="F109" s="4" t="str">
        <f>IMAGE("https://mcgrathscove.ca/connor/isaaccostumes/048_cupids_arrow_head4.png")</f>
        <v/>
      </c>
    </row>
    <row r="110" ht="37.5" customHeight="1">
      <c r="A110" s="2" t="s">
        <v>109</v>
      </c>
      <c r="B110" s="2">
        <v>49.0</v>
      </c>
      <c r="C110" s="2" t="s">
        <v>91</v>
      </c>
      <c r="D110" s="2">
        <v>30.0</v>
      </c>
      <c r="E110" s="2" t="s">
        <v>33</v>
      </c>
      <c r="F110" s="2" t="str">
        <f>IMAGE("https://mcgrathscove.ca/connor/isaaccostumes/049_shoop_da_whoop_head.png")</f>
        <v/>
      </c>
    </row>
    <row r="111" ht="37.5" customHeight="1">
      <c r="A111" s="4" t="s">
        <v>109</v>
      </c>
      <c r="B111" s="4">
        <v>49.0</v>
      </c>
      <c r="C111" s="4" t="s">
        <v>91</v>
      </c>
      <c r="D111" s="4">
        <v>30.0</v>
      </c>
      <c r="E111" s="4" t="s">
        <v>21</v>
      </c>
      <c r="F111" s="4" t="str">
        <f>IMAGE("https://mcgrathscove.ca/connor/isaaccostumes/049_shoop_da_whoop_head0.png")</f>
        <v/>
      </c>
    </row>
    <row r="112" ht="37.5" customHeight="1">
      <c r="A112" s="2" t="s">
        <v>109</v>
      </c>
      <c r="B112" s="2">
        <v>49.0</v>
      </c>
      <c r="C112" s="2" t="s">
        <v>91</v>
      </c>
      <c r="D112" s="2">
        <v>30.0</v>
      </c>
      <c r="E112" s="2" t="s">
        <v>28</v>
      </c>
      <c r="F112" s="2" t="str">
        <f>IMAGE("https://mcgrathscove.ca/connor/isaaccostumes/049_shoop_da_whoop_head1.png")</f>
        <v/>
      </c>
    </row>
    <row r="113" ht="37.5" customHeight="1">
      <c r="A113" s="4" t="s">
        <v>109</v>
      </c>
      <c r="B113" s="4">
        <v>49.0</v>
      </c>
      <c r="C113" s="4" t="s">
        <v>91</v>
      </c>
      <c r="D113" s="4">
        <v>30.0</v>
      </c>
      <c r="E113" s="4" t="s">
        <v>41</v>
      </c>
      <c r="F113" s="4" t="str">
        <f>IMAGE("https://mcgrathscove.ca/connor/isaaccostumes/049_shoop_da_whoop_head2.png")</f>
        <v/>
      </c>
    </row>
    <row r="114" ht="37.5" customHeight="1">
      <c r="A114" s="2" t="s">
        <v>109</v>
      </c>
      <c r="B114" s="2">
        <v>49.0</v>
      </c>
      <c r="C114" s="2" t="s">
        <v>91</v>
      </c>
      <c r="D114" s="2">
        <v>30.0</v>
      </c>
      <c r="E114" s="2" t="s">
        <v>25</v>
      </c>
      <c r="F114" s="2" t="str">
        <f>IMAGE("https://mcgrathscove.ca/connor/isaaccostumes/049_shoop_da_whoop_head3.png")</f>
        <v/>
      </c>
    </row>
    <row r="115" ht="37.5" customHeight="1">
      <c r="A115" s="4" t="s">
        <v>109</v>
      </c>
      <c r="B115" s="4">
        <v>49.0</v>
      </c>
      <c r="C115" s="4" t="s">
        <v>91</v>
      </c>
      <c r="D115" s="4">
        <v>30.0</v>
      </c>
      <c r="E115" s="4" t="s">
        <v>42</v>
      </c>
      <c r="F115" s="4" t="str">
        <f>IMAGE("https://mcgrathscove.ca/connor/isaaccostumes/049_shoop_da_whoop_head4.png")</f>
        <v/>
      </c>
    </row>
    <row r="116" ht="37.5" customHeight="1">
      <c r="A116" s="2" t="s">
        <v>110</v>
      </c>
      <c r="B116" s="2">
        <v>50.0</v>
      </c>
      <c r="C116" s="2" t="s">
        <v>20</v>
      </c>
      <c r="D116" s="2">
        <v>0.0</v>
      </c>
      <c r="E116" s="2" t="s">
        <v>25</v>
      </c>
      <c r="F116" s="2" t="str">
        <f>IMAGE("https://mcgrathscove.ca/connor/isaaccostumes/050_steven_head3.png")</f>
        <v/>
      </c>
    </row>
    <row r="117" ht="37.5" customHeight="1">
      <c r="A117" s="4" t="s">
        <v>111</v>
      </c>
      <c r="B117" s="4">
        <v>51.0</v>
      </c>
      <c r="C117" s="4" t="s">
        <v>20</v>
      </c>
      <c r="D117" s="4">
        <v>0.0</v>
      </c>
      <c r="E117" s="4" t="s">
        <v>25</v>
      </c>
      <c r="F117" s="4" t="str">
        <f>IMAGE("https://mcgrathscove.ca/connor/isaaccostumes/051_pentagram_head3.png")</f>
        <v/>
      </c>
    </row>
    <row r="118" ht="37.5" customHeight="1">
      <c r="A118" s="2" t="s">
        <v>112</v>
      </c>
      <c r="B118" s="2">
        <v>51.0</v>
      </c>
      <c r="C118" s="2" t="s">
        <v>24</v>
      </c>
      <c r="D118" s="2">
        <v>99.0</v>
      </c>
      <c r="E118" s="2" t="s">
        <v>21</v>
      </c>
      <c r="F118" s="2" t="str">
        <f>IMAGE("https://mcgrathscove.ca/connor/isaaccostumes/character_001x_bethanyhead_head0.png")</f>
        <v/>
      </c>
    </row>
    <row r="119" ht="37.5" customHeight="1">
      <c r="A119" s="4" t="s">
        <v>113</v>
      </c>
      <c r="B119" s="4">
        <v>52.0</v>
      </c>
      <c r="C119" s="4" t="s">
        <v>20</v>
      </c>
      <c r="D119" s="4">
        <v>0.0</v>
      </c>
      <c r="E119" s="4" t="s">
        <v>42</v>
      </c>
      <c r="F119" s="4" t="str">
        <f>IMAGE("https://mcgrathscove.ca/connor/isaaccostumes/052_dr_fetus_head4.png")</f>
        <v/>
      </c>
    </row>
    <row r="120" ht="37.5" customHeight="1">
      <c r="A120" s="2" t="s">
        <v>114</v>
      </c>
      <c r="B120" s="2">
        <v>52.0</v>
      </c>
      <c r="C120" s="2" t="s">
        <v>24</v>
      </c>
      <c r="D120" s="2">
        <v>99.0</v>
      </c>
      <c r="E120" s="2" t="s">
        <v>21</v>
      </c>
      <c r="F120" s="2" t="str">
        <f>IMAGE("https://mcgrathscove.ca/connor/isaaccostumes/character_002x_jacobhead_head0.png")</f>
        <v/>
      </c>
    </row>
    <row r="121" ht="37.5" customHeight="1">
      <c r="A121" s="4" t="s">
        <v>115</v>
      </c>
      <c r="B121" s="4">
        <v>53.0</v>
      </c>
      <c r="C121" s="4" t="s">
        <v>20</v>
      </c>
      <c r="D121" s="4">
        <v>0.0</v>
      </c>
      <c r="E121" s="4" t="s">
        <v>25</v>
      </c>
      <c r="F121" s="4" t="str">
        <f>IMAGE("https://mcgrathscove.ca/connor/isaaccostumes/053_magneto_head3.png")</f>
        <v/>
      </c>
    </row>
    <row r="122" ht="37.5" customHeight="1">
      <c r="A122" s="2" t="s">
        <v>116</v>
      </c>
      <c r="B122" s="2">
        <v>53.0</v>
      </c>
      <c r="C122" s="2" t="s">
        <v>24</v>
      </c>
      <c r="D122" s="2">
        <v>99.0</v>
      </c>
      <c r="E122" s="2" t="s">
        <v>21</v>
      </c>
      <c r="F122" s="2" t="str">
        <f>IMAGE("https://mcgrathscove.ca/connor/isaaccostumes/character_003x_esauhead_head0.png")</f>
        <v/>
      </c>
    </row>
    <row r="123" ht="37.5" customHeight="1">
      <c r="A123" s="4" t="s">
        <v>117</v>
      </c>
      <c r="B123" s="4">
        <v>53.0</v>
      </c>
      <c r="C123" s="4" t="s">
        <v>101</v>
      </c>
      <c r="D123" s="4">
        <v>0.0</v>
      </c>
      <c r="E123" s="4" t="s">
        <v>41</v>
      </c>
      <c r="F123" s="4" t="str">
        <f>IMAGE("https://mcgrathscove.ca/connor/isaaccostumes/t53_tick_head2.png")</f>
        <v/>
      </c>
    </row>
    <row r="124" ht="37.5" customHeight="1">
      <c r="A124" s="2" t="s">
        <v>118</v>
      </c>
      <c r="B124" s="2">
        <v>54.0</v>
      </c>
      <c r="C124" s="2" t="s">
        <v>24</v>
      </c>
      <c r="D124" s="2">
        <v>0.0</v>
      </c>
      <c r="E124" s="2" t="s">
        <v>66</v>
      </c>
      <c r="F124" s="2" t="str">
        <f>IMAGE("https://mcgrathscove.ca/connor/isaaccostumes/016x_bloodoath_glow.png")</f>
        <v/>
      </c>
    </row>
    <row r="125" ht="37.5" customHeight="1">
      <c r="A125" s="4" t="s">
        <v>119</v>
      </c>
      <c r="B125" s="4">
        <v>55.0</v>
      </c>
      <c r="C125" s="4" t="s">
        <v>20</v>
      </c>
      <c r="D125" s="4">
        <v>0.0</v>
      </c>
      <c r="E125" s="4" t="s">
        <v>33</v>
      </c>
      <c r="F125" s="4" t="str">
        <f>IMAGE("https://mcgrathscove.ca/connor/isaaccostumes/055_moms_eye_head.png")</f>
        <v/>
      </c>
    </row>
    <row r="126" ht="37.5" customHeight="1">
      <c r="A126" s="2" t="s">
        <v>120</v>
      </c>
      <c r="B126" s="2">
        <v>56.0</v>
      </c>
      <c r="C126" s="2" t="s">
        <v>24</v>
      </c>
      <c r="D126" s="2">
        <v>10.0</v>
      </c>
      <c r="E126" s="2" t="s">
        <v>66</v>
      </c>
      <c r="F126" s="2" t="str">
        <f>IMAGE("https://mcgrathscove.ca/connor/isaaccostumes/035x_sol2_glow.png")</f>
        <v/>
      </c>
    </row>
    <row r="127" ht="37.5" customHeight="1">
      <c r="A127" s="4" t="s">
        <v>121</v>
      </c>
      <c r="B127" s="4">
        <v>57.0</v>
      </c>
      <c r="C127" s="4" t="s">
        <v>24</v>
      </c>
      <c r="D127" s="4">
        <v>10.0</v>
      </c>
      <c r="E127" s="4" t="s">
        <v>33</v>
      </c>
      <c r="F127" s="4" t="str">
        <f>IMAGE("https://mcgrathscove.ca/connor/isaaccostumes/007x_ithurts2_head.png")</f>
        <v/>
      </c>
    </row>
    <row r="128" ht="37.5" customHeight="1">
      <c r="A128" s="2" t="s">
        <v>121</v>
      </c>
      <c r="B128" s="2">
        <v>57.0</v>
      </c>
      <c r="C128" s="2" t="s">
        <v>24</v>
      </c>
      <c r="D128" s="2">
        <v>10.0</v>
      </c>
      <c r="E128" s="2" t="s">
        <v>28</v>
      </c>
      <c r="F128" s="2" t="str">
        <f>IMAGE("https://mcgrathscove.ca/connor/isaaccostumes/007x_ithurts2_head1.png")</f>
        <v/>
      </c>
    </row>
    <row r="129" ht="37.5" customHeight="1">
      <c r="A129" s="4" t="s">
        <v>122</v>
      </c>
      <c r="B129" s="4">
        <v>58.0</v>
      </c>
      <c r="C129" s="4" t="s">
        <v>24</v>
      </c>
      <c r="D129" s="4">
        <v>0.0</v>
      </c>
      <c r="E129" s="4" t="s">
        <v>43</v>
      </c>
      <c r="F129" s="4" t="str">
        <f>IMAGE("https://mcgrathscove.ca/connor/isaaccostumes/040x_mars_steam_head5.png")</f>
        <v/>
      </c>
    </row>
    <row r="130" ht="37.5" customHeight="1">
      <c r="A130" s="2" t="s">
        <v>123</v>
      </c>
      <c r="B130" s="2">
        <v>58.0</v>
      </c>
      <c r="C130" s="2" t="s">
        <v>91</v>
      </c>
      <c r="D130" s="2">
        <v>101.0</v>
      </c>
      <c r="E130" s="2" t="s">
        <v>38</v>
      </c>
      <c r="F130" s="2" t="str">
        <f>IMAGE("https://mcgrathscove.ca/connor/isaaccostumes/058_book_of_shadows_top0.png")</f>
        <v/>
      </c>
    </row>
    <row r="131" ht="37.5" customHeight="1">
      <c r="A131" s="4" t="s">
        <v>124</v>
      </c>
      <c r="B131" s="4">
        <v>59.0</v>
      </c>
      <c r="C131" s="4" t="s">
        <v>24</v>
      </c>
      <c r="D131" s="4">
        <v>51.0</v>
      </c>
      <c r="E131" s="4" t="s">
        <v>33</v>
      </c>
      <c r="F131" s="4" t="str">
        <f>IMAGE("https://mcgrathscove.ca/connor/isaaccostumes/663_toothandnail_statue_head.png")</f>
        <v/>
      </c>
    </row>
    <row r="132" ht="37.5" customHeight="1">
      <c r="A132" s="2" t="s">
        <v>124</v>
      </c>
      <c r="B132" s="2">
        <v>59.0</v>
      </c>
      <c r="C132" s="2" t="s">
        <v>24</v>
      </c>
      <c r="D132" s="2">
        <v>51.0</v>
      </c>
      <c r="E132" s="2" t="s">
        <v>8</v>
      </c>
      <c r="F132" s="2" t="str">
        <f>IMAGE("https://mcgrathscove.ca/connor/isaaccostumes/663_toothandnail_statue_body.png")</f>
        <v/>
      </c>
    </row>
    <row r="133" ht="37.5" customHeight="1">
      <c r="A133" s="4" t="s">
        <v>124</v>
      </c>
      <c r="B133" s="4">
        <v>59.0</v>
      </c>
      <c r="C133" s="4" t="s">
        <v>24</v>
      </c>
      <c r="D133" s="4">
        <v>51.0</v>
      </c>
      <c r="E133" s="4" t="s">
        <v>21</v>
      </c>
      <c r="F133" s="4" t="str">
        <f>IMAGE("https://mcgrathscove.ca/connor/isaaccostumes/663_toothandnail_statue_head0.png")</f>
        <v/>
      </c>
    </row>
    <row r="134" ht="37.5" customHeight="1">
      <c r="A134" s="2" t="s">
        <v>124</v>
      </c>
      <c r="B134" s="2">
        <v>59.0</v>
      </c>
      <c r="C134" s="2" t="s">
        <v>24</v>
      </c>
      <c r="D134" s="2">
        <v>51.0</v>
      </c>
      <c r="E134" s="2" t="s">
        <v>28</v>
      </c>
      <c r="F134" s="2" t="str">
        <f>IMAGE("https://mcgrathscove.ca/connor/isaaccostumes/663_toothandnail_statue_head1.png")</f>
        <v/>
      </c>
    </row>
    <row r="135" ht="37.5" customHeight="1">
      <c r="A135" s="4" t="s">
        <v>124</v>
      </c>
      <c r="B135" s="4">
        <v>59.0</v>
      </c>
      <c r="C135" s="4" t="s">
        <v>24</v>
      </c>
      <c r="D135" s="4">
        <v>51.0</v>
      </c>
      <c r="E135" s="4" t="s">
        <v>41</v>
      </c>
      <c r="F135" s="4" t="str">
        <f>IMAGE("https://mcgrathscove.ca/connor/isaaccostumes/663_toothandnail_statue_head2.png")</f>
        <v/>
      </c>
    </row>
    <row r="136" ht="37.5" customHeight="1">
      <c r="A136" s="2" t="s">
        <v>124</v>
      </c>
      <c r="B136" s="2">
        <v>59.0</v>
      </c>
      <c r="C136" s="2" t="s">
        <v>24</v>
      </c>
      <c r="D136" s="2">
        <v>51.0</v>
      </c>
      <c r="E136" s="2" t="s">
        <v>25</v>
      </c>
      <c r="F136" s="2" t="str">
        <f>IMAGE("https://mcgrathscove.ca/connor/isaaccostumes/663_toothandnail_statue_head3.png")</f>
        <v/>
      </c>
    </row>
    <row r="137" ht="37.5" customHeight="1">
      <c r="A137" s="4" t="s">
        <v>124</v>
      </c>
      <c r="B137" s="4">
        <v>59.0</v>
      </c>
      <c r="C137" s="4" t="s">
        <v>24</v>
      </c>
      <c r="D137" s="4">
        <v>51.0</v>
      </c>
      <c r="E137" s="4" t="s">
        <v>42</v>
      </c>
      <c r="F137" s="4" t="str">
        <f>IMAGE("https://mcgrathscove.ca/connor/isaaccostumes/663_toothandnail_statue_head4.png")</f>
        <v/>
      </c>
    </row>
    <row r="138" ht="37.5" customHeight="1">
      <c r="A138" s="2" t="s">
        <v>124</v>
      </c>
      <c r="B138" s="2">
        <v>59.0</v>
      </c>
      <c r="C138" s="2" t="s">
        <v>24</v>
      </c>
      <c r="D138" s="2">
        <v>51.0</v>
      </c>
      <c r="E138" s="2" t="s">
        <v>43</v>
      </c>
      <c r="F138" s="2" t="str">
        <f>IMAGE("https://mcgrathscove.ca/connor/isaaccostumes/663_toothandnail_statue_head5.png")</f>
        <v/>
      </c>
    </row>
    <row r="139" ht="37.5" customHeight="1">
      <c r="A139" s="4" t="s">
        <v>124</v>
      </c>
      <c r="B139" s="4">
        <v>59.0</v>
      </c>
      <c r="C139" s="4" t="s">
        <v>24</v>
      </c>
      <c r="D139" s="4">
        <v>51.0</v>
      </c>
      <c r="E139" s="4" t="s">
        <v>15</v>
      </c>
      <c r="F139" s="4" t="str">
        <f>IMAGE("https://mcgrathscove.ca/connor/isaaccostumes/663_toothandnail_statue_body0.png")</f>
        <v/>
      </c>
    </row>
    <row r="140" ht="37.5" customHeight="1">
      <c r="A140" s="2" t="s">
        <v>124</v>
      </c>
      <c r="B140" s="2">
        <v>59.0</v>
      </c>
      <c r="C140" s="2" t="s">
        <v>24</v>
      </c>
      <c r="D140" s="2">
        <v>51.0</v>
      </c>
      <c r="E140" s="2" t="s">
        <v>44</v>
      </c>
      <c r="F140" s="2" t="str">
        <f>IMAGE("https://mcgrathscove.ca/connor/isaaccostumes/663_toothandnail_statue_body1.png")</f>
        <v/>
      </c>
    </row>
    <row r="141" ht="37.5" customHeight="1">
      <c r="A141" s="4" t="s">
        <v>125</v>
      </c>
      <c r="B141" s="4">
        <v>62.0</v>
      </c>
      <c r="C141" s="4" t="s">
        <v>20</v>
      </c>
      <c r="D141" s="4">
        <v>0.0</v>
      </c>
      <c r="E141" s="4" t="s">
        <v>33</v>
      </c>
      <c r="F141" s="4" t="str">
        <f>IMAGE("https://mcgrathscove.ca/connor/isaaccostumes/062_charm_of_the_vampire_head.png")</f>
        <v/>
      </c>
    </row>
    <row r="142" ht="37.5" customHeight="1">
      <c r="A142" s="2" t="s">
        <v>126</v>
      </c>
      <c r="B142" s="2">
        <v>62.0</v>
      </c>
      <c r="C142" s="2" t="s">
        <v>24</v>
      </c>
      <c r="D142" s="2">
        <v>100.0</v>
      </c>
      <c r="E142" s="2" t="s">
        <v>25</v>
      </c>
      <c r="F142" s="2" t="str">
        <f>IMAGE("https://mcgrathscove.ca/connor/isaaccostumes/n_reverse_empress_head3.png")</f>
        <v/>
      </c>
    </row>
    <row r="143" ht="37.5" customHeight="1">
      <c r="A143" s="4" t="s">
        <v>127</v>
      </c>
      <c r="B143" s="4">
        <v>63.0</v>
      </c>
      <c r="C143" s="4" t="s">
        <v>20</v>
      </c>
      <c r="D143" s="4">
        <v>0.0</v>
      </c>
      <c r="E143" s="4" t="s">
        <v>41</v>
      </c>
      <c r="F143" s="4" t="str">
        <f>IMAGE("https://mcgrathscove.ca/connor/isaaccostumes/063_the_battery_head2.png")</f>
        <v/>
      </c>
    </row>
    <row r="144" ht="37.5" customHeight="1">
      <c r="A144" s="2" t="s">
        <v>128</v>
      </c>
      <c r="B144" s="2">
        <v>63.0</v>
      </c>
      <c r="C144" s="2" t="s">
        <v>24</v>
      </c>
      <c r="D144" s="2">
        <v>51.0</v>
      </c>
      <c r="E144" s="2" t="s">
        <v>33</v>
      </c>
      <c r="F144" s="2" t="str">
        <f>IMAGE("https://mcgrathscove.ca/connor/isaaccostumes/n_reverse_chariot_head.png")</f>
        <v/>
      </c>
    </row>
    <row r="145" ht="37.5" customHeight="1">
      <c r="A145" s="4" t="s">
        <v>128</v>
      </c>
      <c r="B145" s="4">
        <v>63.0</v>
      </c>
      <c r="C145" s="4" t="s">
        <v>24</v>
      </c>
      <c r="D145" s="4">
        <v>51.0</v>
      </c>
      <c r="E145" s="4" t="s">
        <v>8</v>
      </c>
      <c r="F145" s="4" t="str">
        <f>IMAGE("https://mcgrathscove.ca/connor/isaaccostumes/n_reverse_chariot_body.png")</f>
        <v/>
      </c>
    </row>
    <row r="146" ht="37.5" customHeight="1">
      <c r="A146" s="2" t="s">
        <v>128</v>
      </c>
      <c r="B146" s="2">
        <v>63.0</v>
      </c>
      <c r="C146" s="2" t="s">
        <v>24</v>
      </c>
      <c r="D146" s="2">
        <v>51.0</v>
      </c>
      <c r="E146" s="2" t="s">
        <v>21</v>
      </c>
      <c r="F146" s="2" t="str">
        <f>IMAGE("https://mcgrathscove.ca/connor/isaaccostumes/n_reverse_chariot_head0.png")</f>
        <v/>
      </c>
    </row>
    <row r="147" ht="37.5" customHeight="1">
      <c r="A147" s="4" t="s">
        <v>128</v>
      </c>
      <c r="B147" s="4">
        <v>63.0</v>
      </c>
      <c r="C147" s="4" t="s">
        <v>24</v>
      </c>
      <c r="D147" s="4">
        <v>51.0</v>
      </c>
      <c r="E147" s="4" t="s">
        <v>28</v>
      </c>
      <c r="F147" s="4" t="str">
        <f>IMAGE("https://mcgrathscove.ca/connor/isaaccostumes/n_reverse_chariot_head1.png")</f>
        <v/>
      </c>
    </row>
    <row r="148" ht="37.5" customHeight="1">
      <c r="A148" s="2" t="s">
        <v>128</v>
      </c>
      <c r="B148" s="2">
        <v>63.0</v>
      </c>
      <c r="C148" s="2" t="s">
        <v>24</v>
      </c>
      <c r="D148" s="2">
        <v>51.0</v>
      </c>
      <c r="E148" s="2" t="s">
        <v>41</v>
      </c>
      <c r="F148" s="2" t="str">
        <f>IMAGE("https://mcgrathscove.ca/connor/isaaccostumes/n_reverse_chariot_head2.png")</f>
        <v/>
      </c>
    </row>
    <row r="149" ht="37.5" customHeight="1">
      <c r="A149" s="4" t="s">
        <v>128</v>
      </c>
      <c r="B149" s="4">
        <v>63.0</v>
      </c>
      <c r="C149" s="4" t="s">
        <v>24</v>
      </c>
      <c r="D149" s="4">
        <v>51.0</v>
      </c>
      <c r="E149" s="4" t="s">
        <v>25</v>
      </c>
      <c r="F149" s="4" t="str">
        <f>IMAGE("https://mcgrathscove.ca/connor/isaaccostumes/n_reverse_chariot_head3.png")</f>
        <v/>
      </c>
    </row>
    <row r="150" ht="37.5" customHeight="1">
      <c r="A150" s="2" t="s">
        <v>128</v>
      </c>
      <c r="B150" s="2">
        <v>63.0</v>
      </c>
      <c r="C150" s="2" t="s">
        <v>24</v>
      </c>
      <c r="D150" s="2">
        <v>51.0</v>
      </c>
      <c r="E150" s="2" t="s">
        <v>42</v>
      </c>
      <c r="F150" s="2" t="str">
        <f>IMAGE("https://mcgrathscove.ca/connor/isaaccostumes/n_reverse_chariot_head4.png")</f>
        <v/>
      </c>
    </row>
    <row r="151" ht="37.5" customHeight="1">
      <c r="A151" s="4" t="s">
        <v>128</v>
      </c>
      <c r="B151" s="4">
        <v>63.0</v>
      </c>
      <c r="C151" s="4" t="s">
        <v>24</v>
      </c>
      <c r="D151" s="4">
        <v>51.0</v>
      </c>
      <c r="E151" s="4" t="s">
        <v>43</v>
      </c>
      <c r="F151" s="4" t="str">
        <f>IMAGE("https://mcgrathscove.ca/connor/isaaccostumes/n_reverse_chariot_head5.png")</f>
        <v/>
      </c>
    </row>
    <row r="152" ht="37.5" customHeight="1">
      <c r="A152" s="2" t="s">
        <v>128</v>
      </c>
      <c r="B152" s="2">
        <v>63.0</v>
      </c>
      <c r="C152" s="2" t="s">
        <v>24</v>
      </c>
      <c r="D152" s="2">
        <v>51.0</v>
      </c>
      <c r="E152" s="2" t="s">
        <v>15</v>
      </c>
      <c r="F152" s="2" t="str">
        <f>IMAGE("https://mcgrathscove.ca/connor/isaaccostumes/n_reverse_chariot_body0.png")</f>
        <v/>
      </c>
    </row>
    <row r="153" ht="37.5" customHeight="1">
      <c r="A153" s="4" t="s">
        <v>128</v>
      </c>
      <c r="B153" s="4">
        <v>63.0</v>
      </c>
      <c r="C153" s="4" t="s">
        <v>24</v>
      </c>
      <c r="D153" s="4">
        <v>51.0</v>
      </c>
      <c r="E153" s="4" t="s">
        <v>44</v>
      </c>
      <c r="F153" s="4" t="str">
        <f>IMAGE("https://mcgrathscove.ca/connor/isaaccostumes/n_reverse_chariot_body1.png")</f>
        <v/>
      </c>
    </row>
    <row r="154" ht="37.5" customHeight="1">
      <c r="A154" s="2" t="s">
        <v>129</v>
      </c>
      <c r="B154" s="2">
        <v>64.0</v>
      </c>
      <c r="C154" s="2" t="s">
        <v>20</v>
      </c>
      <c r="D154" s="2">
        <v>0.0</v>
      </c>
      <c r="E154" s="2" t="s">
        <v>41</v>
      </c>
      <c r="F154" s="2" t="str">
        <f>IMAGE("https://mcgrathscove.ca/connor/isaaccostumes/064_steam_sale_head2.png")</f>
        <v/>
      </c>
    </row>
    <row r="155" ht="37.5" customHeight="1">
      <c r="A155" s="4" t="s">
        <v>130</v>
      </c>
      <c r="B155" s="4">
        <v>65.0</v>
      </c>
      <c r="C155" s="4" t="s">
        <v>24</v>
      </c>
      <c r="D155" s="4">
        <v>100.0</v>
      </c>
      <c r="E155" s="4" t="s">
        <v>33</v>
      </c>
      <c r="F155" s="4" t="str">
        <f>IMAGE("https://mcgrathscove.ca/connor/isaaccostumes/n_reverse_hanged_man_head.png")</f>
        <v/>
      </c>
    </row>
    <row r="156" ht="37.5" customHeight="1">
      <c r="A156" s="2" t="s">
        <v>131</v>
      </c>
      <c r="B156" s="2">
        <v>68.0</v>
      </c>
      <c r="C156" s="2" t="s">
        <v>20</v>
      </c>
      <c r="D156" s="2">
        <v>22.0</v>
      </c>
      <c r="E156" s="2" t="s">
        <v>33</v>
      </c>
      <c r="F156" s="2" t="str">
        <f>IMAGE("https://mcgrathscove.ca/connor/isaaccostumes/068_technology_head.png")</f>
        <v/>
      </c>
    </row>
    <row r="157" ht="37.5" customHeight="1">
      <c r="A157" s="4" t="s">
        <v>132</v>
      </c>
      <c r="B157" s="4">
        <v>68.0</v>
      </c>
      <c r="C157" s="4" t="s">
        <v>24</v>
      </c>
      <c r="D157" s="4">
        <v>51.0</v>
      </c>
      <c r="E157" s="4" t="s">
        <v>33</v>
      </c>
      <c r="F157" s="4" t="str">
        <f>IMAGE("https://mcgrathscove.ca/connor/isaaccostumes/n_reverse_chariot_alt_head.png")</f>
        <v/>
      </c>
    </row>
    <row r="158" ht="37.5" customHeight="1">
      <c r="A158" s="2" t="s">
        <v>132</v>
      </c>
      <c r="B158" s="2">
        <v>68.0</v>
      </c>
      <c r="C158" s="2" t="s">
        <v>24</v>
      </c>
      <c r="D158" s="2">
        <v>51.0</v>
      </c>
      <c r="E158" s="2" t="s">
        <v>8</v>
      </c>
      <c r="F158" s="2" t="str">
        <f>IMAGE("https://mcgrathscove.ca/connor/isaaccostumes/n_reverse_chariot_alt_body.png")</f>
        <v/>
      </c>
    </row>
    <row r="159" ht="37.5" customHeight="1">
      <c r="A159" s="4" t="s">
        <v>132</v>
      </c>
      <c r="B159" s="4">
        <v>68.0</v>
      </c>
      <c r="C159" s="4" t="s">
        <v>24</v>
      </c>
      <c r="D159" s="4">
        <v>51.0</v>
      </c>
      <c r="E159" s="4" t="s">
        <v>21</v>
      </c>
      <c r="F159" s="4" t="str">
        <f>IMAGE("https://mcgrathscove.ca/connor/isaaccostumes/n_reverse_chariot_alt_head0.png")</f>
        <v/>
      </c>
    </row>
    <row r="160" ht="37.5" customHeight="1">
      <c r="A160" s="2" t="s">
        <v>132</v>
      </c>
      <c r="B160" s="2">
        <v>68.0</v>
      </c>
      <c r="C160" s="2" t="s">
        <v>24</v>
      </c>
      <c r="D160" s="2">
        <v>51.0</v>
      </c>
      <c r="E160" s="2" t="s">
        <v>28</v>
      </c>
      <c r="F160" s="2" t="str">
        <f>IMAGE("https://mcgrathscove.ca/connor/isaaccostumes/n_reverse_chariot_alt_head1.png")</f>
        <v/>
      </c>
    </row>
    <row r="161" ht="37.5" customHeight="1">
      <c r="A161" s="4" t="s">
        <v>132</v>
      </c>
      <c r="B161" s="4">
        <v>68.0</v>
      </c>
      <c r="C161" s="4" t="s">
        <v>24</v>
      </c>
      <c r="D161" s="4">
        <v>51.0</v>
      </c>
      <c r="E161" s="4" t="s">
        <v>41</v>
      </c>
      <c r="F161" s="4" t="str">
        <f>IMAGE("https://mcgrathscove.ca/connor/isaaccostumes/n_reverse_chariot_alt_head2.png")</f>
        <v/>
      </c>
    </row>
    <row r="162" ht="37.5" customHeight="1">
      <c r="A162" s="2" t="s">
        <v>132</v>
      </c>
      <c r="B162" s="2">
        <v>68.0</v>
      </c>
      <c r="C162" s="2" t="s">
        <v>24</v>
      </c>
      <c r="D162" s="2">
        <v>51.0</v>
      </c>
      <c r="E162" s="2" t="s">
        <v>25</v>
      </c>
      <c r="F162" s="2" t="str">
        <f>IMAGE("https://mcgrathscove.ca/connor/isaaccostumes/n_reverse_chariot_alt_head3.png")</f>
        <v/>
      </c>
    </row>
    <row r="163" ht="37.5" customHeight="1">
      <c r="A163" s="4" t="s">
        <v>132</v>
      </c>
      <c r="B163" s="4">
        <v>68.0</v>
      </c>
      <c r="C163" s="4" t="s">
        <v>24</v>
      </c>
      <c r="D163" s="4">
        <v>51.0</v>
      </c>
      <c r="E163" s="4" t="s">
        <v>42</v>
      </c>
      <c r="F163" s="4" t="str">
        <f>IMAGE("https://mcgrathscove.ca/connor/isaaccostumes/n_reverse_chariot_alt_head4.png")</f>
        <v/>
      </c>
    </row>
    <row r="164" ht="37.5" customHeight="1">
      <c r="A164" s="2" t="s">
        <v>132</v>
      </c>
      <c r="B164" s="2">
        <v>68.0</v>
      </c>
      <c r="C164" s="2" t="s">
        <v>24</v>
      </c>
      <c r="D164" s="2">
        <v>51.0</v>
      </c>
      <c r="E164" s="2" t="s">
        <v>43</v>
      </c>
      <c r="F164" s="2" t="str">
        <f>IMAGE("https://mcgrathscove.ca/connor/isaaccostumes/n_reverse_chariot_alt_head5.png")</f>
        <v/>
      </c>
    </row>
    <row r="165" ht="37.5" customHeight="1">
      <c r="A165" s="4" t="s">
        <v>132</v>
      </c>
      <c r="B165" s="4">
        <v>68.0</v>
      </c>
      <c r="C165" s="4" t="s">
        <v>24</v>
      </c>
      <c r="D165" s="4">
        <v>51.0</v>
      </c>
      <c r="E165" s="4" t="s">
        <v>15</v>
      </c>
      <c r="F165" s="4" t="str">
        <f>IMAGE("https://mcgrathscove.ca/connor/isaaccostumes/n_reverse_chariot_alt_body0.png")</f>
        <v/>
      </c>
    </row>
    <row r="166" ht="37.5" customHeight="1">
      <c r="A166" s="2" t="s">
        <v>132</v>
      </c>
      <c r="B166" s="2">
        <v>68.0</v>
      </c>
      <c r="C166" s="2" t="s">
        <v>24</v>
      </c>
      <c r="D166" s="2">
        <v>51.0</v>
      </c>
      <c r="E166" s="2" t="s">
        <v>44</v>
      </c>
      <c r="F166" s="2" t="str">
        <f>IMAGE("https://mcgrathscove.ca/connor/isaaccostumes/n_reverse_chariot_alt_body1.png")</f>
        <v/>
      </c>
    </row>
    <row r="167" ht="37.5" customHeight="1">
      <c r="A167" s="4" t="s">
        <v>133</v>
      </c>
      <c r="B167" s="4">
        <v>69.0</v>
      </c>
      <c r="C167" s="4" t="s">
        <v>20</v>
      </c>
      <c r="D167" s="4">
        <v>21.0</v>
      </c>
      <c r="E167" s="4" t="s">
        <v>33</v>
      </c>
      <c r="F167" s="4" t="str">
        <f>IMAGE("https://mcgrathscove.ca/connor/isaaccostumes/069_chocolate_milk_head.png")</f>
        <v/>
      </c>
    </row>
    <row r="168" ht="37.5" customHeight="1">
      <c r="A168" s="2" t="s">
        <v>134</v>
      </c>
      <c r="B168" s="2">
        <v>70.0</v>
      </c>
      <c r="C168" s="2" t="s">
        <v>20</v>
      </c>
      <c r="D168" s="2">
        <v>0.0</v>
      </c>
      <c r="E168" s="2" t="s">
        <v>25</v>
      </c>
      <c r="F168" s="2" t="str">
        <f>IMAGE("https://mcgrathscove.ca/connor/isaaccostumes/070_growth_hormones_head3.png")</f>
        <v/>
      </c>
    </row>
    <row r="169" ht="37.5" customHeight="1">
      <c r="A169" s="4" t="s">
        <v>135</v>
      </c>
      <c r="B169" s="4">
        <v>71.0</v>
      </c>
      <c r="C169" s="4" t="s">
        <v>24</v>
      </c>
      <c r="D169" s="4">
        <v>10.0</v>
      </c>
      <c r="E169" s="4" t="s">
        <v>33</v>
      </c>
      <c r="F169" s="4" t="str">
        <f>IMAGE("https://mcgrathscove.ca/connor/isaaccostumes/029x_wavycap1_head.png")</f>
        <v/>
      </c>
    </row>
    <row r="170" ht="37.5" customHeight="1">
      <c r="A170" s="2" t="s">
        <v>135</v>
      </c>
      <c r="B170" s="2">
        <v>71.0</v>
      </c>
      <c r="C170" s="2" t="s">
        <v>24</v>
      </c>
      <c r="D170" s="2">
        <v>10.0</v>
      </c>
      <c r="E170" s="2" t="s">
        <v>42</v>
      </c>
      <c r="F170" s="2" t="str">
        <f>IMAGE("https://mcgrathscove.ca/connor/isaaccostumes/029x_wavycap1_head4.png")</f>
        <v/>
      </c>
    </row>
    <row r="171" ht="37.5" customHeight="1">
      <c r="A171" s="4" t="s">
        <v>136</v>
      </c>
      <c r="B171" s="4">
        <v>72.0</v>
      </c>
      <c r="C171" s="4" t="s">
        <v>24</v>
      </c>
      <c r="D171" s="4">
        <v>10.0</v>
      </c>
      <c r="E171" s="4" t="s">
        <v>33</v>
      </c>
      <c r="F171" s="4" t="str">
        <f>IMAGE("https://mcgrathscove.ca/connor/isaaccostumes/029x_wavycap2_head.png")</f>
        <v/>
      </c>
    </row>
    <row r="172" ht="37.5" customHeight="1">
      <c r="A172" s="2" t="s">
        <v>136</v>
      </c>
      <c r="B172" s="2">
        <v>72.0</v>
      </c>
      <c r="C172" s="2" t="s">
        <v>24</v>
      </c>
      <c r="D172" s="2">
        <v>10.0</v>
      </c>
      <c r="E172" s="2" t="s">
        <v>42</v>
      </c>
      <c r="F172" s="2" t="str">
        <f>IMAGE("https://mcgrathscove.ca/connor/isaaccostumes/029x_wavycap2_head4.png")</f>
        <v/>
      </c>
    </row>
    <row r="173" ht="37.5" customHeight="1">
      <c r="A173" s="4" t="s">
        <v>137</v>
      </c>
      <c r="B173" s="4">
        <v>72.0</v>
      </c>
      <c r="C173" s="4" t="s">
        <v>20</v>
      </c>
      <c r="D173" s="4">
        <v>0.0</v>
      </c>
      <c r="E173" s="4" t="s">
        <v>44</v>
      </c>
      <c r="F173" s="4" t="str">
        <f>IMAGE("https://mcgrathscove.ca/connor/isaaccostumes/072_rosary_body1.png")</f>
        <v/>
      </c>
    </row>
    <row r="174" ht="37.5" customHeight="1">
      <c r="A174" s="2" t="s">
        <v>138</v>
      </c>
      <c r="B174" s="2">
        <v>73.0</v>
      </c>
      <c r="C174" s="2" t="s">
        <v>24</v>
      </c>
      <c r="D174" s="2">
        <v>10.0</v>
      </c>
      <c r="E174" s="2" t="s">
        <v>33</v>
      </c>
      <c r="F174" s="2" t="str">
        <f>IMAGE("https://mcgrathscove.ca/connor/isaaccostumes/029x_wavycap3_head.png")</f>
        <v/>
      </c>
    </row>
    <row r="175" ht="37.5" customHeight="1">
      <c r="A175" s="4" t="s">
        <v>138</v>
      </c>
      <c r="B175" s="4">
        <v>73.0</v>
      </c>
      <c r="C175" s="4" t="s">
        <v>24</v>
      </c>
      <c r="D175" s="4">
        <v>10.0</v>
      </c>
      <c r="E175" s="4" t="s">
        <v>42</v>
      </c>
      <c r="F175" s="4" t="str">
        <f>IMAGE("https://mcgrathscove.ca/connor/isaaccostumes/029x_wavycap3_head4.png")</f>
        <v/>
      </c>
    </row>
    <row r="176" ht="37.5" customHeight="1">
      <c r="A176" s="2" t="s">
        <v>139</v>
      </c>
      <c r="B176" s="2">
        <v>74.0</v>
      </c>
      <c r="C176" s="2" t="s">
        <v>24</v>
      </c>
      <c r="D176" s="2">
        <v>2.0</v>
      </c>
      <c r="E176" s="2" t="s">
        <v>33</v>
      </c>
      <c r="F176" s="2" t="str">
        <f>IMAGE("https://mcgrathscove.ca/connor/isaaccostumes/036x_luna2_head.png")</f>
        <v/>
      </c>
    </row>
    <row r="177" ht="37.5" customHeight="1">
      <c r="A177" s="4" t="s">
        <v>140</v>
      </c>
      <c r="B177" s="4">
        <v>75.0</v>
      </c>
      <c r="C177" s="4" t="s">
        <v>20</v>
      </c>
      <c r="D177" s="4">
        <v>0.0</v>
      </c>
      <c r="E177" s="4" t="s">
        <v>41</v>
      </c>
      <c r="F177" s="4" t="str">
        <f>IMAGE("https://mcgrathscove.ca/connor/isaaccostumes/075_phd_head2.png")</f>
        <v/>
      </c>
    </row>
    <row r="178" ht="37.5" customHeight="1">
      <c r="A178" s="2" t="s">
        <v>141</v>
      </c>
      <c r="B178" s="2">
        <v>75.0</v>
      </c>
      <c r="C178" s="2" t="s">
        <v>24</v>
      </c>
      <c r="D178" s="2">
        <v>101.0</v>
      </c>
      <c r="E178" s="2" t="s">
        <v>8</v>
      </c>
      <c r="F178" s="2" t="str">
        <f>IMAGE("https://mcgrathscove.ca/connor/isaaccostumes/n_jupiter_body_body.png")</f>
        <v/>
      </c>
    </row>
    <row r="179" ht="37.5" customHeight="1">
      <c r="A179" s="4" t="s">
        <v>142</v>
      </c>
      <c r="B179" s="4">
        <v>76.0</v>
      </c>
      <c r="C179" s="4" t="s">
        <v>20</v>
      </c>
      <c r="D179" s="4">
        <v>0.0</v>
      </c>
      <c r="E179" s="4" t="s">
        <v>41</v>
      </c>
      <c r="F179" s="4" t="str">
        <f>IMAGE("https://mcgrathscove.ca/connor/isaaccostumes/076_xray-vision_head2.png")</f>
        <v/>
      </c>
    </row>
    <row r="180" ht="37.5" customHeight="1">
      <c r="A180" s="2" t="s">
        <v>143</v>
      </c>
      <c r="B180" s="2">
        <v>76.0</v>
      </c>
      <c r="C180" s="2" t="s">
        <v>24</v>
      </c>
      <c r="D180" s="2">
        <v>101.0</v>
      </c>
      <c r="E180" s="2" t="s">
        <v>8</v>
      </c>
      <c r="F180" s="2" t="str">
        <f>IMAGE("https://mcgrathscove.ca/connor/isaaccostumes/n_jupiter_body_angel_body.png")</f>
        <v/>
      </c>
    </row>
    <row r="181" ht="37.5" customHeight="1">
      <c r="A181" s="4" t="s">
        <v>143</v>
      </c>
      <c r="B181" s="4">
        <v>76.0</v>
      </c>
      <c r="C181" s="4" t="s">
        <v>24</v>
      </c>
      <c r="D181" s="4">
        <v>101.0</v>
      </c>
      <c r="E181" s="4" t="s">
        <v>38</v>
      </c>
      <c r="F181" s="4" t="str">
        <f>IMAGE("https://mcgrathscove.ca/connor/isaaccostumes/n_jupiter_body_angel_top0.png")</f>
        <v/>
      </c>
    </row>
    <row r="182" ht="37.5" customHeight="1">
      <c r="A182" s="2" t="s">
        <v>144</v>
      </c>
      <c r="B182" s="2">
        <v>77.0</v>
      </c>
      <c r="C182" s="2" t="s">
        <v>91</v>
      </c>
      <c r="D182" s="2">
        <v>0.0</v>
      </c>
      <c r="E182" s="2" t="s">
        <v>33</v>
      </c>
      <c r="F182" s="2" t="str">
        <f>IMAGE("https://mcgrathscove.ca/connor/isaaccostumes/077_my_little_unicorn_head.png")</f>
        <v/>
      </c>
    </row>
    <row r="183" ht="37.5" customHeight="1">
      <c r="A183" s="4" t="s">
        <v>144</v>
      </c>
      <c r="B183" s="4">
        <v>77.0</v>
      </c>
      <c r="C183" s="4" t="s">
        <v>91</v>
      </c>
      <c r="D183" s="4">
        <v>0.0</v>
      </c>
      <c r="E183" s="4" t="s">
        <v>28</v>
      </c>
      <c r="F183" s="4" t="str">
        <f>IMAGE("https://mcgrathscove.ca/connor/isaaccostumes/077_my_little_unicorn_head1.png")</f>
        <v/>
      </c>
    </row>
    <row r="184" ht="37.5" customHeight="1">
      <c r="A184" s="2" t="s">
        <v>145</v>
      </c>
      <c r="B184" s="2">
        <v>77.0</v>
      </c>
      <c r="C184" s="2" t="s">
        <v>24</v>
      </c>
      <c r="D184" s="2">
        <v>101.0</v>
      </c>
      <c r="E184" s="2" t="s">
        <v>8</v>
      </c>
      <c r="F184" s="2" t="str">
        <f>IMAGE("https://mcgrathscove.ca/connor/isaaccostumes/n_jupiter_body_pony_body.png")</f>
        <v/>
      </c>
    </row>
    <row r="185" ht="37.5" customHeight="1">
      <c r="A185" s="4" t="s">
        <v>145</v>
      </c>
      <c r="B185" s="4">
        <v>77.0</v>
      </c>
      <c r="C185" s="4" t="s">
        <v>24</v>
      </c>
      <c r="D185" s="4">
        <v>101.0</v>
      </c>
      <c r="E185" s="4" t="s">
        <v>15</v>
      </c>
      <c r="F185" s="4" t="str">
        <f>IMAGE("https://mcgrathscove.ca/connor/isaaccostumes/n_jupiter_body_pony_body0.png")</f>
        <v/>
      </c>
    </row>
    <row r="186" ht="37.5" customHeight="1">
      <c r="A186" s="2" t="s">
        <v>145</v>
      </c>
      <c r="B186" s="2">
        <v>77.0</v>
      </c>
      <c r="C186" s="2" t="s">
        <v>24</v>
      </c>
      <c r="D186" s="2">
        <v>101.0</v>
      </c>
      <c r="E186" s="2" t="s">
        <v>38</v>
      </c>
      <c r="F186" s="2" t="str">
        <f>IMAGE("https://mcgrathscove.ca/connor/isaaccostumes/n_jupiter_body_pony_top0.png")</f>
        <v/>
      </c>
    </row>
    <row r="187" ht="37.5" customHeight="1">
      <c r="A187" s="4" t="s">
        <v>146</v>
      </c>
      <c r="B187" s="4">
        <v>78.0</v>
      </c>
      <c r="C187" s="4" t="s">
        <v>24</v>
      </c>
      <c r="D187" s="4">
        <v>101.0</v>
      </c>
      <c r="E187" s="4" t="s">
        <v>8</v>
      </c>
      <c r="F187" s="4" t="str">
        <f>IMAGE("https://mcgrathscove.ca/connor/isaaccostumes/n_jupiter_body_whitepony_body.png")</f>
        <v/>
      </c>
    </row>
    <row r="188" ht="37.5" customHeight="1">
      <c r="A188" s="2" t="s">
        <v>146</v>
      </c>
      <c r="B188" s="2">
        <v>78.0</v>
      </c>
      <c r="C188" s="2" t="s">
        <v>24</v>
      </c>
      <c r="D188" s="2">
        <v>101.0</v>
      </c>
      <c r="E188" s="2" t="s">
        <v>15</v>
      </c>
      <c r="F188" s="2" t="str">
        <f>IMAGE("https://mcgrathscove.ca/connor/isaaccostumes/n_jupiter_body_whitepony_body0.png")</f>
        <v/>
      </c>
    </row>
    <row r="189" ht="37.5" customHeight="1">
      <c r="A189" s="4" t="s">
        <v>146</v>
      </c>
      <c r="B189" s="4">
        <v>78.0</v>
      </c>
      <c r="C189" s="4" t="s">
        <v>24</v>
      </c>
      <c r="D189" s="4">
        <v>101.0</v>
      </c>
      <c r="E189" s="4" t="s">
        <v>38</v>
      </c>
      <c r="F189" s="4" t="str">
        <f>IMAGE("https://mcgrathscove.ca/connor/isaaccostumes/n_jupiter_body_whitepony_top0.png")</f>
        <v/>
      </c>
    </row>
    <row r="190" ht="37.5" customHeight="1">
      <c r="A190" s="2" t="s">
        <v>147</v>
      </c>
      <c r="B190" s="2">
        <v>79.0</v>
      </c>
      <c r="C190" s="2" t="s">
        <v>20</v>
      </c>
      <c r="D190" s="2">
        <v>0.0</v>
      </c>
      <c r="E190" s="2" t="s">
        <v>28</v>
      </c>
      <c r="F190" s="2" t="str">
        <f>IMAGE("https://mcgrathscove.ca/connor/isaaccostumes/079_the_mark_head1.png")</f>
        <v/>
      </c>
    </row>
    <row r="191" ht="37.5" customHeight="1">
      <c r="A191" s="4" t="s">
        <v>148</v>
      </c>
      <c r="B191" s="4">
        <v>79.0</v>
      </c>
      <c r="C191" s="4" t="s">
        <v>24</v>
      </c>
      <c r="D191" s="4">
        <v>99.0</v>
      </c>
      <c r="E191" s="4" t="s">
        <v>21</v>
      </c>
      <c r="F191" s="4" t="str">
        <f>IMAGE("https://mcgrathscove.ca/connor/isaaccostumes/character_b01_isaac_head0.png")</f>
        <v/>
      </c>
    </row>
    <row r="192" ht="37.5" customHeight="1">
      <c r="A192" s="2" t="s">
        <v>149</v>
      </c>
      <c r="B192" s="2">
        <v>80.0</v>
      </c>
      <c r="C192" s="2" t="s">
        <v>20</v>
      </c>
      <c r="D192" s="2">
        <v>0.0</v>
      </c>
      <c r="E192" s="2" t="s">
        <v>33</v>
      </c>
      <c r="F192" s="2" t="str">
        <f>IMAGE("https://mcgrathscove.ca/connor/isaaccostumes/080_the_pact_head.png")</f>
        <v/>
      </c>
    </row>
    <row r="193" ht="37.5" customHeight="1">
      <c r="A193" s="4" t="s">
        <v>149</v>
      </c>
      <c r="B193" s="4">
        <v>80.0</v>
      </c>
      <c r="C193" s="4" t="s">
        <v>20</v>
      </c>
      <c r="D193" s="4">
        <v>0.0</v>
      </c>
      <c r="E193" s="4" t="s">
        <v>8</v>
      </c>
      <c r="F193" s="4" t="str">
        <f>IMAGE("https://mcgrathscove.ca/connor/isaaccostumes/080_the_pact_body.png")</f>
        <v/>
      </c>
    </row>
    <row r="194" ht="37.5" customHeight="1">
      <c r="A194" s="2" t="s">
        <v>149</v>
      </c>
      <c r="B194" s="2">
        <v>80.0</v>
      </c>
      <c r="C194" s="2" t="s">
        <v>20</v>
      </c>
      <c r="D194" s="2">
        <v>0.0</v>
      </c>
      <c r="E194" s="2" t="s">
        <v>25</v>
      </c>
      <c r="F194" s="2" t="str">
        <f>IMAGE("https://mcgrathscove.ca/connor/isaaccostumes/080_the_pact_head3.png")</f>
        <v/>
      </c>
    </row>
    <row r="195" ht="37.5" customHeight="1">
      <c r="A195" s="4" t="s">
        <v>150</v>
      </c>
      <c r="B195" s="4">
        <v>80.0</v>
      </c>
      <c r="C195" s="4" t="s">
        <v>24</v>
      </c>
      <c r="D195" s="4">
        <v>99.0</v>
      </c>
      <c r="E195" s="4" t="s">
        <v>21</v>
      </c>
      <c r="F195" s="4" t="str">
        <f>IMAGE("https://mcgrathscove.ca/connor/isaaccostumes/character_b02_magdalene_head0.png")</f>
        <v/>
      </c>
    </row>
    <row r="196" ht="37.5" customHeight="1">
      <c r="A196" s="2" t="s">
        <v>151</v>
      </c>
      <c r="B196" s="2">
        <v>81.0</v>
      </c>
      <c r="C196" s="2" t="s">
        <v>24</v>
      </c>
      <c r="D196" s="2">
        <v>99.0</v>
      </c>
      <c r="E196" s="2" t="s">
        <v>21</v>
      </c>
      <c r="F196" s="2" t="str">
        <f>IMAGE("https://mcgrathscove.ca/connor/isaaccostumes/character_b03_cain_head0.png")</f>
        <v/>
      </c>
    </row>
    <row r="197" ht="37.5" customHeight="1">
      <c r="A197" s="4" t="s">
        <v>152</v>
      </c>
      <c r="B197" s="4">
        <v>82.0</v>
      </c>
      <c r="C197" s="4" t="s">
        <v>20</v>
      </c>
      <c r="D197" s="4">
        <v>0.0</v>
      </c>
      <c r="E197" s="4" t="s">
        <v>8</v>
      </c>
      <c r="F197" s="4" t="str">
        <f>IMAGE("https://mcgrathscove.ca/connor/isaaccostumes/082_lord_of_the_pit_body.png")</f>
        <v/>
      </c>
    </row>
    <row r="198" ht="37.5" customHeight="1">
      <c r="A198" s="2" t="s">
        <v>152</v>
      </c>
      <c r="B198" s="2">
        <v>82.0</v>
      </c>
      <c r="C198" s="2" t="s">
        <v>20</v>
      </c>
      <c r="D198" s="2">
        <v>0.0</v>
      </c>
      <c r="E198" s="2" t="s">
        <v>38</v>
      </c>
      <c r="F198" s="2" t="str">
        <f>IMAGE("https://mcgrathscove.ca/connor/isaaccostumes/082_lord_of_the_pit_top0.png")</f>
        <v/>
      </c>
    </row>
    <row r="199" ht="37.5" customHeight="1">
      <c r="A199" s="4" t="s">
        <v>153</v>
      </c>
      <c r="B199" s="4">
        <v>82.0</v>
      </c>
      <c r="C199" s="4" t="s">
        <v>24</v>
      </c>
      <c r="D199" s="4">
        <v>99.0</v>
      </c>
      <c r="E199" s="4" t="s">
        <v>21</v>
      </c>
      <c r="F199" s="4" t="str">
        <f>IMAGE("https://mcgrathscove.ca/connor/isaaccostumes/character_b04_judas_head0.png")</f>
        <v/>
      </c>
    </row>
    <row r="200" ht="37.5" customHeight="1">
      <c r="A200" s="2" t="s">
        <v>154</v>
      </c>
      <c r="B200" s="2">
        <v>83.0</v>
      </c>
      <c r="C200" s="2" t="s">
        <v>20</v>
      </c>
      <c r="D200" s="2">
        <v>0.0</v>
      </c>
      <c r="E200" s="2" t="s">
        <v>8</v>
      </c>
      <c r="F200" s="2" t="str">
        <f>IMAGE("https://mcgrathscove.ca/connor/isaaccostumes/083_the_nail_body.png")</f>
        <v/>
      </c>
    </row>
    <row r="201" ht="37.5" customHeight="1">
      <c r="A201" s="4" t="s">
        <v>154</v>
      </c>
      <c r="B201" s="4">
        <v>83.0</v>
      </c>
      <c r="C201" s="4" t="s">
        <v>20</v>
      </c>
      <c r="D201" s="4">
        <v>0.0</v>
      </c>
      <c r="E201" s="4" t="s">
        <v>33</v>
      </c>
      <c r="F201" s="4" t="str">
        <f>IMAGE("https://mcgrathscove.ca/connor/isaaccostumes/083_the_nail_head.png")</f>
        <v/>
      </c>
    </row>
    <row r="202" ht="37.5" customHeight="1">
      <c r="A202" s="2" t="s">
        <v>155</v>
      </c>
      <c r="B202" s="2">
        <v>83.0</v>
      </c>
      <c r="C202" s="2" t="s">
        <v>24</v>
      </c>
      <c r="D202" s="2">
        <v>99.0</v>
      </c>
      <c r="E202" s="2" t="s">
        <v>21</v>
      </c>
      <c r="F202" s="2" t="str">
        <f>IMAGE("https://mcgrathscove.ca/connor/isaaccostumes/character_b05_bluebaby_head0.png")</f>
        <v/>
      </c>
    </row>
    <row r="203" ht="37.5" customHeight="1">
      <c r="A203" s="4" t="s">
        <v>155</v>
      </c>
      <c r="B203" s="4">
        <v>83.0</v>
      </c>
      <c r="C203" s="4" t="s">
        <v>24</v>
      </c>
      <c r="D203" s="4">
        <v>99.0</v>
      </c>
      <c r="E203" s="4" t="s">
        <v>8</v>
      </c>
      <c r="F203" s="4" t="str">
        <f>IMAGE("https://mcgrathscove.ca/connor/isaaccostumes/character_b05_bluebaby_body.png")</f>
        <v/>
      </c>
    </row>
    <row r="204" ht="37.5" customHeight="1">
      <c r="A204" s="2" t="s">
        <v>156</v>
      </c>
      <c r="B204" s="2">
        <v>84.0</v>
      </c>
      <c r="C204" s="2" t="s">
        <v>24</v>
      </c>
      <c r="D204" s="2">
        <v>99.0</v>
      </c>
      <c r="E204" s="2" t="s">
        <v>21</v>
      </c>
      <c r="F204" s="2" t="str">
        <f>IMAGE("https://mcgrathscove.ca/connor/isaaccostumes/character_b06_eve_head0.png")</f>
        <v/>
      </c>
    </row>
    <row r="205" ht="37.5" customHeight="1">
      <c r="A205" s="4" t="s">
        <v>157</v>
      </c>
      <c r="B205" s="4">
        <v>85.0</v>
      </c>
      <c r="C205" s="4" t="s">
        <v>24</v>
      </c>
      <c r="D205" s="4">
        <v>99.0</v>
      </c>
      <c r="E205" s="4" t="s">
        <v>21</v>
      </c>
      <c r="F205" s="4" t="str">
        <f>IMAGE("https://mcgrathscove.ca/connor/isaaccostumes/character_b07_samson_head0.png")</f>
        <v/>
      </c>
    </row>
    <row r="206" ht="37.5" customHeight="1">
      <c r="A206" s="2" t="s">
        <v>158</v>
      </c>
      <c r="B206" s="2">
        <v>86.0</v>
      </c>
      <c r="C206" s="2" t="s">
        <v>91</v>
      </c>
      <c r="D206" s="2">
        <v>0.0</v>
      </c>
      <c r="E206" s="2" t="s">
        <v>44</v>
      </c>
      <c r="F206" s="2" t="str">
        <f>IMAGE("https://mcgrathscove.ca/connor/isaaccostumes/086_monstrostooth_body1.png")</f>
        <v/>
      </c>
    </row>
    <row r="207" ht="37.5" customHeight="1">
      <c r="A207" s="4" t="s">
        <v>159</v>
      </c>
      <c r="B207" s="4">
        <v>86.0</v>
      </c>
      <c r="C207" s="4" t="s">
        <v>24</v>
      </c>
      <c r="D207" s="4">
        <v>99.0</v>
      </c>
      <c r="E207" s="4" t="s">
        <v>33</v>
      </c>
      <c r="F207" s="4" t="str">
        <f>IMAGE("https://mcgrathscove.ca/connor/isaaccostumes/character_b08_azazel_head.png")</f>
        <v/>
      </c>
    </row>
    <row r="208" ht="37.5" customHeight="1">
      <c r="A208" s="2" t="s">
        <v>159</v>
      </c>
      <c r="B208" s="2">
        <v>86.0</v>
      </c>
      <c r="C208" s="2" t="s">
        <v>24</v>
      </c>
      <c r="D208" s="2">
        <v>99.0</v>
      </c>
      <c r="E208" s="2" t="s">
        <v>8</v>
      </c>
      <c r="F208" s="2" t="str">
        <f>IMAGE("https://mcgrathscove.ca/connor/isaaccostumes/character_b08_azazel_body.png")</f>
        <v/>
      </c>
    </row>
    <row r="209" ht="37.5" customHeight="1">
      <c r="A209" s="4" t="s">
        <v>160</v>
      </c>
      <c r="B209" s="4">
        <v>87.0</v>
      </c>
      <c r="C209" s="4" t="s">
        <v>20</v>
      </c>
      <c r="D209" s="4">
        <v>0.0</v>
      </c>
      <c r="E209" s="4" t="s">
        <v>25</v>
      </c>
      <c r="F209" s="4" t="str">
        <f>IMAGE("https://mcgrathscove.ca/connor/isaaccostumes/087_lokis_horns_head3.png")</f>
        <v/>
      </c>
    </row>
    <row r="210" ht="37.5" customHeight="1">
      <c r="A210" s="2" t="s">
        <v>161</v>
      </c>
      <c r="B210" s="2">
        <v>87.0</v>
      </c>
      <c r="C210" s="2" t="s">
        <v>24</v>
      </c>
      <c r="D210" s="2">
        <v>99.0</v>
      </c>
      <c r="E210" s="2" t="s">
        <v>21</v>
      </c>
      <c r="F210" s="2" t="str">
        <f>IMAGE("https://mcgrathscove.ca/connor/isaaccostumes/character_b09_lazarus_head0.png")</f>
        <v/>
      </c>
    </row>
    <row r="211" ht="37.5" customHeight="1">
      <c r="A211" s="4" t="s">
        <v>161</v>
      </c>
      <c r="B211" s="4">
        <v>87.0</v>
      </c>
      <c r="C211" s="4" t="s">
        <v>24</v>
      </c>
      <c r="D211" s="4">
        <v>99.0</v>
      </c>
      <c r="E211" s="4" t="s">
        <v>15</v>
      </c>
      <c r="F211" s="4" t="str">
        <f>IMAGE("https://mcgrathscove.ca/connor/isaaccostumes/character_b09_lazarus_body0.png")</f>
        <v/>
      </c>
    </row>
    <row r="212" ht="37.5" customHeight="1">
      <c r="A212" s="2" t="s">
        <v>162</v>
      </c>
      <c r="B212" s="2">
        <v>88.0</v>
      </c>
      <c r="C212" s="2" t="s">
        <v>24</v>
      </c>
      <c r="D212" s="2">
        <v>99.0</v>
      </c>
      <c r="E212" s="2" t="s">
        <v>21</v>
      </c>
      <c r="F212" s="2" t="str">
        <f>IMAGE("https://mcgrathscove.ca/connor/isaaccostumes/character_b10_eden_head0.png")</f>
        <v/>
      </c>
    </row>
    <row r="213" ht="37.5" customHeight="1">
      <c r="A213" s="4" t="s">
        <v>163</v>
      </c>
      <c r="B213" s="4">
        <v>89.0</v>
      </c>
      <c r="C213" s="4" t="s">
        <v>20</v>
      </c>
      <c r="D213" s="4">
        <v>0.0</v>
      </c>
      <c r="E213" s="4" t="s">
        <v>25</v>
      </c>
      <c r="F213" s="4" t="str">
        <f>IMAGE("https://mcgrathscove.ca/connor/isaaccostumes/089_spider_bite_head3.png")</f>
        <v/>
      </c>
    </row>
    <row r="214" ht="37.5" customHeight="1">
      <c r="A214" s="2" t="s">
        <v>164</v>
      </c>
      <c r="B214" s="2">
        <v>89.0</v>
      </c>
      <c r="C214" s="2" t="s">
        <v>24</v>
      </c>
      <c r="D214" s="2">
        <v>99.0</v>
      </c>
      <c r="E214" s="2" t="s">
        <v>21</v>
      </c>
      <c r="F214" s="2" t="str">
        <f>IMAGE("https://mcgrathscove.ca/connor/isaaccostumes/character_b11_thelost_head0.png")</f>
        <v/>
      </c>
    </row>
    <row r="215" ht="37.5" customHeight="1">
      <c r="A215" s="4" t="s">
        <v>165</v>
      </c>
      <c r="B215" s="4">
        <v>90.0</v>
      </c>
      <c r="C215" s="4" t="s">
        <v>20</v>
      </c>
      <c r="D215" s="4">
        <v>0.0</v>
      </c>
      <c r="E215" s="4" t="s">
        <v>41</v>
      </c>
      <c r="F215" s="4" t="str">
        <f>IMAGE("https://mcgrathscove.ca/connor/isaaccostumes/090_the_small_rock_head2.png")</f>
        <v/>
      </c>
    </row>
    <row r="216" ht="37.5" customHeight="1">
      <c r="A216" s="2" t="s">
        <v>166</v>
      </c>
      <c r="B216" s="2">
        <v>90.0</v>
      </c>
      <c r="C216" s="2" t="s">
        <v>24</v>
      </c>
      <c r="D216" s="2">
        <v>99.0</v>
      </c>
      <c r="E216" s="2" t="s">
        <v>21</v>
      </c>
      <c r="F216" s="2" t="str">
        <f>IMAGE("https://mcgrathscove.ca/connor/isaaccostumes/character_b12_lilith_head0.png")</f>
        <v/>
      </c>
    </row>
    <row r="217" ht="37.5" customHeight="1">
      <c r="A217" s="4" t="s">
        <v>166</v>
      </c>
      <c r="B217" s="4">
        <v>90.0</v>
      </c>
      <c r="C217" s="4" t="s">
        <v>24</v>
      </c>
      <c r="D217" s="4">
        <v>99.0</v>
      </c>
      <c r="E217" s="4" t="s">
        <v>8</v>
      </c>
      <c r="F217" s="4" t="str">
        <f>IMAGE("https://mcgrathscove.ca/connor/isaaccostumes/character_b12_lilith_body.png")</f>
        <v/>
      </c>
    </row>
    <row r="218" ht="37.5" customHeight="1">
      <c r="A218" s="2" t="s">
        <v>167</v>
      </c>
      <c r="B218" s="2">
        <v>91.0</v>
      </c>
      <c r="C218" s="2" t="s">
        <v>20</v>
      </c>
      <c r="D218" s="2">
        <v>0.0</v>
      </c>
      <c r="E218" s="2" t="s">
        <v>42</v>
      </c>
      <c r="F218" s="2" t="str">
        <f>IMAGE("https://mcgrathscove.ca/connor/isaaccostumes/091_spelunker_hat_head4.png")</f>
        <v/>
      </c>
    </row>
    <row r="219" ht="37.5" customHeight="1">
      <c r="A219" s="4" t="s">
        <v>167</v>
      </c>
      <c r="B219" s="4">
        <v>91.0</v>
      </c>
      <c r="C219" s="4" t="s">
        <v>20</v>
      </c>
      <c r="D219" s="4">
        <v>0.0</v>
      </c>
      <c r="E219" s="4" t="s">
        <v>66</v>
      </c>
      <c r="F219" s="4" t="str">
        <f>IMAGE("https://mcgrathscove.ca/connor/isaaccostumes/091_spelunker_hat_glow.png")</f>
        <v/>
      </c>
    </row>
    <row r="220" ht="37.5" customHeight="1">
      <c r="A220" s="2" t="s">
        <v>168</v>
      </c>
      <c r="B220" s="2">
        <v>91.0</v>
      </c>
      <c r="C220" s="2" t="s">
        <v>24</v>
      </c>
      <c r="D220" s="2">
        <v>99.0</v>
      </c>
      <c r="E220" s="2" t="s">
        <v>21</v>
      </c>
      <c r="F220" s="2" t="str">
        <f>IMAGE("https://mcgrathscove.ca/connor/isaaccostumes/character_b13_keeper_head0.png")</f>
        <v/>
      </c>
    </row>
    <row r="221" ht="37.5" customHeight="1">
      <c r="A221" s="4" t="s">
        <v>168</v>
      </c>
      <c r="B221" s="4">
        <v>91.0</v>
      </c>
      <c r="C221" s="4" t="s">
        <v>24</v>
      </c>
      <c r="D221" s="4">
        <v>99.0</v>
      </c>
      <c r="E221" s="4" t="s">
        <v>28</v>
      </c>
      <c r="F221" s="4" t="str">
        <f>IMAGE("https://mcgrathscove.ca/connor/isaaccostumes/character_b13_keeper_head1.png")</f>
        <v/>
      </c>
    </row>
    <row r="222" ht="37.5" customHeight="1">
      <c r="A222" s="2" t="s">
        <v>168</v>
      </c>
      <c r="B222" s="2">
        <v>91.0</v>
      </c>
      <c r="C222" s="2" t="s">
        <v>24</v>
      </c>
      <c r="D222" s="2">
        <v>99.0</v>
      </c>
      <c r="E222" s="2" t="s">
        <v>41</v>
      </c>
      <c r="F222" s="2" t="str">
        <f>IMAGE("https://mcgrathscove.ca/connor/isaaccostumes/character_b13_keeper_head2.png")</f>
        <v/>
      </c>
    </row>
    <row r="223" ht="37.5" customHeight="1">
      <c r="A223" s="4" t="s">
        <v>169</v>
      </c>
      <c r="B223" s="4">
        <v>92.0</v>
      </c>
      <c r="C223" s="4" t="s">
        <v>20</v>
      </c>
      <c r="D223" s="4">
        <v>0.0</v>
      </c>
      <c r="E223" s="4" t="s">
        <v>42</v>
      </c>
      <c r="F223" s="4" t="str">
        <f>IMAGE("https://mcgrathscove.ca/connor/isaaccostumes/092_super_bandage_head4.png")</f>
        <v/>
      </c>
    </row>
    <row r="224" ht="37.5" customHeight="1">
      <c r="A224" s="2" t="s">
        <v>170</v>
      </c>
      <c r="B224" s="2">
        <v>92.0</v>
      </c>
      <c r="C224" s="2" t="s">
        <v>24</v>
      </c>
      <c r="D224" s="2">
        <v>99.0</v>
      </c>
      <c r="E224" s="2" t="s">
        <v>8</v>
      </c>
      <c r="F224" s="2" t="str">
        <f>IMAGE("https://mcgrathscove.ca/connor/isaaccostumes/character_b14_apollyon_body.png")</f>
        <v/>
      </c>
    </row>
    <row r="225" ht="37.5" customHeight="1">
      <c r="A225" s="4" t="s">
        <v>170</v>
      </c>
      <c r="B225" s="4">
        <v>92.0</v>
      </c>
      <c r="C225" s="4" t="s">
        <v>24</v>
      </c>
      <c r="D225" s="4">
        <v>99.0</v>
      </c>
      <c r="E225" s="4" t="s">
        <v>21</v>
      </c>
      <c r="F225" s="4" t="str">
        <f>IMAGE("https://mcgrathscove.ca/connor/isaaccostumes/character_b14_apollyon_head0.png")</f>
        <v/>
      </c>
    </row>
    <row r="226" ht="37.5" customHeight="1">
      <c r="A226" s="2" t="s">
        <v>170</v>
      </c>
      <c r="B226" s="2">
        <v>92.0</v>
      </c>
      <c r="C226" s="2" t="s">
        <v>24</v>
      </c>
      <c r="D226" s="2">
        <v>99.0</v>
      </c>
      <c r="E226" s="2" t="s">
        <v>42</v>
      </c>
      <c r="F226" s="2" t="str">
        <f>IMAGE("https://mcgrathscove.ca/connor/isaaccostumes/character_b14_apollyon_head4.png")</f>
        <v/>
      </c>
    </row>
    <row r="227" ht="37.5" customHeight="1">
      <c r="A227" s="4" t="s">
        <v>171</v>
      </c>
      <c r="B227" s="4">
        <v>93.0</v>
      </c>
      <c r="C227" s="4" t="s">
        <v>91</v>
      </c>
      <c r="D227" s="4">
        <v>100.0</v>
      </c>
      <c r="E227" s="4" t="s">
        <v>33</v>
      </c>
      <c r="F227" s="4" t="str">
        <f>IMAGE("https://mcgrathscove.ca/connor/isaaccostumes/093_the_gamekid_head.png")</f>
        <v/>
      </c>
    </row>
    <row r="228" ht="37.5" customHeight="1">
      <c r="A228" s="2" t="s">
        <v>171</v>
      </c>
      <c r="B228" s="2">
        <v>93.0</v>
      </c>
      <c r="C228" s="2" t="s">
        <v>91</v>
      </c>
      <c r="D228" s="2">
        <v>100.0</v>
      </c>
      <c r="E228" s="2" t="s">
        <v>21</v>
      </c>
      <c r="F228" s="2" t="str">
        <f>IMAGE("https://mcgrathscove.ca/connor/isaaccostumes/093_the_gamekid_head0.png")</f>
        <v/>
      </c>
    </row>
    <row r="229" ht="37.5" customHeight="1">
      <c r="A229" s="4" t="s">
        <v>171</v>
      </c>
      <c r="B229" s="4">
        <v>93.0</v>
      </c>
      <c r="C229" s="4" t="s">
        <v>91</v>
      </c>
      <c r="D229" s="4">
        <v>100.0</v>
      </c>
      <c r="E229" s="4" t="s">
        <v>28</v>
      </c>
      <c r="F229" s="4" t="str">
        <f>IMAGE("https://mcgrathscove.ca/connor/isaaccostumes/093_the_gamekid_head1.png")</f>
        <v/>
      </c>
    </row>
    <row r="230" ht="37.5" customHeight="1">
      <c r="A230" s="2" t="s">
        <v>171</v>
      </c>
      <c r="B230" s="2">
        <v>93.0</v>
      </c>
      <c r="C230" s="2" t="s">
        <v>91</v>
      </c>
      <c r="D230" s="2">
        <v>100.0</v>
      </c>
      <c r="E230" s="2" t="s">
        <v>41</v>
      </c>
      <c r="F230" s="2" t="str">
        <f>IMAGE("https://mcgrathscove.ca/connor/isaaccostumes/093_the_gamekid_head2.png")</f>
        <v/>
      </c>
    </row>
    <row r="231" ht="37.5" customHeight="1">
      <c r="A231" s="4" t="s">
        <v>171</v>
      </c>
      <c r="B231" s="4">
        <v>93.0</v>
      </c>
      <c r="C231" s="4" t="s">
        <v>91</v>
      </c>
      <c r="D231" s="4">
        <v>100.0</v>
      </c>
      <c r="E231" s="4" t="s">
        <v>25</v>
      </c>
      <c r="F231" s="4" t="str">
        <f>IMAGE("https://mcgrathscove.ca/connor/isaaccostumes/093_the_gamekid_head3.png")</f>
        <v/>
      </c>
    </row>
    <row r="232" ht="37.5" customHeight="1">
      <c r="A232" s="2" t="s">
        <v>171</v>
      </c>
      <c r="B232" s="2">
        <v>93.0</v>
      </c>
      <c r="C232" s="2" t="s">
        <v>91</v>
      </c>
      <c r="D232" s="2">
        <v>100.0</v>
      </c>
      <c r="E232" s="2" t="s">
        <v>42</v>
      </c>
      <c r="F232" s="2" t="str">
        <f>IMAGE("https://mcgrathscove.ca/connor/isaaccostumes/093_the_gamekid_head4.png")</f>
        <v/>
      </c>
    </row>
    <row r="233" ht="37.5" customHeight="1">
      <c r="A233" s="4" t="s">
        <v>172</v>
      </c>
      <c r="B233" s="4">
        <v>93.0</v>
      </c>
      <c r="C233" s="4" t="s">
        <v>24</v>
      </c>
      <c r="D233" s="4">
        <v>99.0</v>
      </c>
      <c r="E233" s="4" t="s">
        <v>21</v>
      </c>
      <c r="F233" s="4" t="str">
        <f>IMAGE("https://mcgrathscove.ca/connor/isaaccostumes/character_b15_theforgotten_head0.png")</f>
        <v/>
      </c>
    </row>
    <row r="234" ht="37.5" customHeight="1">
      <c r="A234" s="2" t="s">
        <v>172</v>
      </c>
      <c r="B234" s="2">
        <v>93.0</v>
      </c>
      <c r="C234" s="2" t="s">
        <v>24</v>
      </c>
      <c r="D234" s="2">
        <v>99.0</v>
      </c>
      <c r="E234" s="2" t="s">
        <v>8</v>
      </c>
      <c r="F234" s="2" t="str">
        <f>IMAGE("https://mcgrathscove.ca/connor/isaaccostumes/character_b15_theforgotten_body.png")</f>
        <v/>
      </c>
    </row>
    <row r="235" ht="37.5" customHeight="1">
      <c r="A235" s="4" t="s">
        <v>173</v>
      </c>
      <c r="B235" s="4">
        <v>94.0</v>
      </c>
      <c r="C235" s="4" t="s">
        <v>24</v>
      </c>
      <c r="D235" s="4">
        <v>99.0</v>
      </c>
      <c r="E235" s="4" t="s">
        <v>21</v>
      </c>
      <c r="F235" s="4" t="str">
        <f>IMAGE("https://mcgrathscove.ca/connor/isaaccostumes/character_b16_bethany_head0.png")</f>
        <v/>
      </c>
    </row>
    <row r="236" ht="37.5" customHeight="1">
      <c r="A236" s="2" t="s">
        <v>174</v>
      </c>
      <c r="B236" s="2">
        <v>95.0</v>
      </c>
      <c r="C236" s="2" t="s">
        <v>24</v>
      </c>
      <c r="D236" s="2">
        <v>99.0</v>
      </c>
      <c r="E236" s="2" t="s">
        <v>21</v>
      </c>
      <c r="F236" s="2" t="str">
        <f>IMAGE("https://mcgrathscove.ca/connor/isaaccostumes/character_b17_jacob_head0.png")</f>
        <v/>
      </c>
    </row>
    <row r="237" ht="37.5" customHeight="1">
      <c r="A237" s="4" t="s">
        <v>175</v>
      </c>
      <c r="B237" s="4">
        <v>96.0</v>
      </c>
      <c r="C237" s="4" t="s">
        <v>24</v>
      </c>
      <c r="D237" s="4">
        <v>1.0</v>
      </c>
      <c r="E237" s="4" t="s">
        <v>28</v>
      </c>
      <c r="F237" s="4" t="str">
        <f>IMAGE("https://mcgrathscove.ca/connor/isaaccostumes/n_azazelsrage_1_head1.png")</f>
        <v/>
      </c>
    </row>
    <row r="238" ht="37.5" customHeight="1">
      <c r="A238" s="2" t="s">
        <v>175</v>
      </c>
      <c r="B238" s="2">
        <v>96.0</v>
      </c>
      <c r="C238" s="2" t="s">
        <v>24</v>
      </c>
      <c r="D238" s="2">
        <v>1.0</v>
      </c>
      <c r="E238" s="2" t="s">
        <v>25</v>
      </c>
      <c r="F238" s="2" t="str">
        <f>IMAGE("https://mcgrathscove.ca/connor/isaaccostumes/n_azazelsrage_1_head3.png")</f>
        <v/>
      </c>
    </row>
    <row r="239" ht="37.5" customHeight="1">
      <c r="A239" s="4" t="s">
        <v>176</v>
      </c>
      <c r="B239" s="4">
        <v>97.0</v>
      </c>
      <c r="C239" s="4" t="s">
        <v>24</v>
      </c>
      <c r="D239" s="4">
        <v>1.0</v>
      </c>
      <c r="E239" s="4" t="s">
        <v>28</v>
      </c>
      <c r="F239" s="4" t="str">
        <f>IMAGE("https://mcgrathscove.ca/connor/isaaccostumes/n_azazelsrage_2_head1.png")</f>
        <v/>
      </c>
    </row>
    <row r="240" ht="37.5" customHeight="1">
      <c r="A240" s="2" t="s">
        <v>176</v>
      </c>
      <c r="B240" s="2">
        <v>97.0</v>
      </c>
      <c r="C240" s="2" t="s">
        <v>24</v>
      </c>
      <c r="D240" s="2">
        <v>1.0</v>
      </c>
      <c r="E240" s="2" t="s">
        <v>25</v>
      </c>
      <c r="F240" s="2" t="str">
        <f>IMAGE("https://mcgrathscove.ca/connor/isaaccostumes/n_azazelsrage_2_head3.png")</f>
        <v/>
      </c>
    </row>
    <row r="241" ht="37.5" customHeight="1">
      <c r="A241" s="4" t="s">
        <v>177</v>
      </c>
      <c r="B241" s="4">
        <v>98.0</v>
      </c>
      <c r="C241" s="4" t="s">
        <v>24</v>
      </c>
      <c r="D241" s="4">
        <v>1.0</v>
      </c>
      <c r="E241" s="4" t="s">
        <v>28</v>
      </c>
      <c r="F241" s="4" t="str">
        <f>IMAGE("https://mcgrathscove.ca/connor/isaaccostumes/n_azazelsrage_3_head1.png")</f>
        <v/>
      </c>
    </row>
    <row r="242" ht="37.5" customHeight="1">
      <c r="A242" s="2" t="s">
        <v>177</v>
      </c>
      <c r="B242" s="2">
        <v>98.0</v>
      </c>
      <c r="C242" s="2" t="s">
        <v>24</v>
      </c>
      <c r="D242" s="2">
        <v>1.0</v>
      </c>
      <c r="E242" s="2" t="s">
        <v>25</v>
      </c>
      <c r="F242" s="2" t="str">
        <f>IMAGE("https://mcgrathscove.ca/connor/isaaccostumes/n_azazelsrage_3_head3.png")</f>
        <v/>
      </c>
    </row>
    <row r="243" ht="37.5" customHeight="1">
      <c r="A243" s="4" t="s">
        <v>178</v>
      </c>
      <c r="B243" s="4">
        <v>99.0</v>
      </c>
      <c r="C243" s="4" t="s">
        <v>24</v>
      </c>
      <c r="D243" s="4">
        <v>1.0</v>
      </c>
      <c r="E243" s="4" t="s">
        <v>33</v>
      </c>
      <c r="F243" s="4" t="str">
        <f>IMAGE("https://mcgrathscove.ca/connor/isaaccostumes/n_azazelsrage_4_head.png")</f>
        <v/>
      </c>
    </row>
    <row r="244" ht="37.5" customHeight="1">
      <c r="A244" s="2" t="s">
        <v>178</v>
      </c>
      <c r="B244" s="2">
        <v>99.0</v>
      </c>
      <c r="C244" s="2" t="s">
        <v>24</v>
      </c>
      <c r="D244" s="2">
        <v>1.0</v>
      </c>
      <c r="E244" s="2" t="s">
        <v>25</v>
      </c>
      <c r="F244" s="2" t="str">
        <f>IMAGE("https://mcgrathscove.ca/connor/isaaccostumes/n_azazelsrage_4_head3.png")</f>
        <v/>
      </c>
    </row>
    <row r="245" ht="37.5" customHeight="1">
      <c r="A245" s="4" t="s">
        <v>179</v>
      </c>
      <c r="B245" s="4">
        <v>100.0</v>
      </c>
      <c r="C245" s="4" t="s">
        <v>24</v>
      </c>
      <c r="D245" s="4">
        <v>0.0</v>
      </c>
      <c r="E245" s="4" t="s">
        <v>8</v>
      </c>
      <c r="F245" s="4" t="str">
        <f>IMAGE("https://mcgrathscove.ca/connor/isaaccostumes/n_esau_jr_body.png")</f>
        <v/>
      </c>
    </row>
    <row r="246" ht="37.5" customHeight="1">
      <c r="A246" s="2" t="s">
        <v>179</v>
      </c>
      <c r="B246" s="2">
        <v>100.0</v>
      </c>
      <c r="C246" s="2" t="s">
        <v>24</v>
      </c>
      <c r="D246" s="2">
        <v>0.0</v>
      </c>
      <c r="E246" s="2" t="s">
        <v>38</v>
      </c>
      <c r="F246" s="2" t="str">
        <f>IMAGE("https://mcgrathscove.ca/connor/isaaccostumes/n_esau_jr_top0.png")</f>
        <v/>
      </c>
    </row>
    <row r="247" ht="37.5" customHeight="1">
      <c r="A247" s="4" t="s">
        <v>179</v>
      </c>
      <c r="B247" s="4">
        <v>100.0</v>
      </c>
      <c r="C247" s="4" t="s">
        <v>24</v>
      </c>
      <c r="D247" s="4">
        <v>0.0</v>
      </c>
      <c r="E247" s="4" t="s">
        <v>33</v>
      </c>
      <c r="F247" s="4" t="str">
        <f>IMAGE("https://mcgrathscove.ca/connor/isaaccostumes/n_esau_jr_head.png")</f>
        <v/>
      </c>
    </row>
    <row r="248" ht="37.5" customHeight="1">
      <c r="A248" s="2" t="s">
        <v>180</v>
      </c>
      <c r="B248" s="2">
        <v>101.0</v>
      </c>
      <c r="C248" s="2" t="s">
        <v>20</v>
      </c>
      <c r="D248" s="2">
        <v>0.0</v>
      </c>
      <c r="E248" s="2" t="s">
        <v>42</v>
      </c>
      <c r="F248" s="2" t="str">
        <f>IMAGE("https://mcgrathscove.ca/connor/isaaccostumes/101_the_halo_head4.png")</f>
        <v/>
      </c>
    </row>
    <row r="249" ht="37.5" customHeight="1">
      <c r="A249" s="4" t="s">
        <v>181</v>
      </c>
      <c r="B249" s="4">
        <v>101.0</v>
      </c>
      <c r="C249" s="4" t="s">
        <v>24</v>
      </c>
      <c r="D249" s="4">
        <v>0.0</v>
      </c>
      <c r="E249" s="4" t="s">
        <v>8</v>
      </c>
      <c r="F249" s="4" t="str">
        <f>IMAGE("https://mcgrathscove.ca/connor/isaaccostumes/n_spiritshackles_ghost_body.png")</f>
        <v/>
      </c>
    </row>
    <row r="250" ht="37.5" customHeight="1">
      <c r="A250" s="2" t="s">
        <v>181</v>
      </c>
      <c r="B250" s="2">
        <v>101.0</v>
      </c>
      <c r="C250" s="2" t="s">
        <v>24</v>
      </c>
      <c r="D250" s="2">
        <v>0.0</v>
      </c>
      <c r="E250" s="2" t="s">
        <v>33</v>
      </c>
      <c r="F250" s="2" t="str">
        <f>IMAGE("https://mcgrathscove.ca/connor/isaaccostumes/n_spiritshackles_ghost_head.png")</f>
        <v/>
      </c>
    </row>
    <row r="251" ht="37.5" customHeight="1">
      <c r="A251" s="4" t="s">
        <v>182</v>
      </c>
      <c r="B251" s="4">
        <v>102.0</v>
      </c>
      <c r="C251" s="4" t="s">
        <v>24</v>
      </c>
      <c r="D251" s="4">
        <v>11.0</v>
      </c>
      <c r="E251" s="4" t="s">
        <v>15</v>
      </c>
      <c r="F251" s="4" t="str">
        <f>IMAGE("https://mcgrathscove.ca/connor/isaaccostumes/674_spiritshackles_body0.png")</f>
        <v/>
      </c>
    </row>
    <row r="252" ht="37.5" customHeight="1">
      <c r="A252" s="2" t="s">
        <v>183</v>
      </c>
      <c r="B252" s="2">
        <v>103.0</v>
      </c>
      <c r="C252" s="2" t="s">
        <v>20</v>
      </c>
      <c r="D252" s="2">
        <v>0.0</v>
      </c>
      <c r="E252" s="2" t="s">
        <v>33</v>
      </c>
      <c r="F252" s="2" t="str">
        <f>IMAGE("https://mcgrathscove.ca/connor/isaaccostumes/103_the_common_cold_head.png")</f>
        <v/>
      </c>
    </row>
    <row r="253" ht="37.5" customHeight="1">
      <c r="A253" s="4" t="s">
        <v>184</v>
      </c>
      <c r="B253" s="4">
        <v>103.0</v>
      </c>
      <c r="C253" s="4" t="s">
        <v>24</v>
      </c>
      <c r="D253" s="4">
        <v>100.0</v>
      </c>
      <c r="E253" s="4" t="s">
        <v>21</v>
      </c>
      <c r="F253" s="4" t="str">
        <f>IMAGE("https://mcgrathscove.ca/connor/isaaccostumes/n_berserk_samson_head0.png")</f>
        <v/>
      </c>
    </row>
    <row r="254" ht="37.5" customHeight="1">
      <c r="A254" s="2" t="s">
        <v>185</v>
      </c>
      <c r="B254" s="2">
        <v>104.0</v>
      </c>
      <c r="C254" s="2" t="s">
        <v>20</v>
      </c>
      <c r="D254" s="2">
        <v>0.0</v>
      </c>
      <c r="E254" s="2" t="s">
        <v>25</v>
      </c>
      <c r="F254" s="2" t="str">
        <f>IMAGE("https://mcgrathscove.ca/connor/isaaccostumes/104_the_parasite_head3.png")</f>
        <v/>
      </c>
    </row>
    <row r="255" ht="37.5" customHeight="1">
      <c r="A255" s="4" t="s">
        <v>186</v>
      </c>
      <c r="B255" s="4">
        <v>104.0</v>
      </c>
      <c r="C255" s="4" t="s">
        <v>24</v>
      </c>
      <c r="D255" s="4">
        <v>99.0</v>
      </c>
      <c r="E255" s="4" t="s">
        <v>21</v>
      </c>
      <c r="F255" s="4" t="str">
        <f>IMAGE("https://mcgrathscove.ca/connor/isaaccostumes/character_b09_lazarus2_head0.png")</f>
        <v/>
      </c>
    </row>
    <row r="256" ht="37.5" customHeight="1">
      <c r="A256" s="2" t="s">
        <v>186</v>
      </c>
      <c r="B256" s="2">
        <v>104.0</v>
      </c>
      <c r="C256" s="2" t="s">
        <v>24</v>
      </c>
      <c r="D256" s="2">
        <v>99.0</v>
      </c>
      <c r="E256" s="2" t="s">
        <v>15</v>
      </c>
      <c r="F256" s="2" t="str">
        <f>IMAGE("https://mcgrathscove.ca/connor/isaaccostumes/character_b09_lazarus2_body0.png")</f>
        <v/>
      </c>
    </row>
    <row r="257" ht="37.5" customHeight="1">
      <c r="A257" s="4" t="s">
        <v>187</v>
      </c>
      <c r="B257" s="4">
        <v>105.0</v>
      </c>
      <c r="C257" s="4" t="s">
        <v>24</v>
      </c>
      <c r="D257" s="4">
        <v>99.0</v>
      </c>
      <c r="E257" s="4" t="s">
        <v>21</v>
      </c>
      <c r="F257" s="4" t="str">
        <f>IMAGE("https://mcgrathscove.ca/connor/isaaccostumes/character_b15_thesoul_head0.png")</f>
        <v/>
      </c>
    </row>
    <row r="258" ht="37.5" customHeight="1">
      <c r="A258" s="2" t="s">
        <v>188</v>
      </c>
      <c r="B258" s="2">
        <v>106.0</v>
      </c>
      <c r="C258" s="2" t="s">
        <v>20</v>
      </c>
      <c r="D258" s="2">
        <v>0.0</v>
      </c>
      <c r="E258" s="2" t="s">
        <v>33</v>
      </c>
      <c r="F258" s="2" t="str">
        <f>IMAGE("https://mcgrathscove.ca/connor/isaaccostumes/106_mr_mega_head.png")</f>
        <v/>
      </c>
    </row>
    <row r="259" ht="37.5" customHeight="1">
      <c r="A259" s="4" t="s">
        <v>189</v>
      </c>
      <c r="B259" s="4">
        <v>106.0</v>
      </c>
      <c r="C259" s="4" t="s">
        <v>24</v>
      </c>
      <c r="D259" s="4">
        <v>101.0</v>
      </c>
      <c r="E259" s="4" t="s">
        <v>21</v>
      </c>
      <c r="F259" s="4" t="str">
        <f>IMAGE("https://mcgrathscove.ca/connor/isaaccostumes/n_forgotten_bomb_head0.png")</f>
        <v/>
      </c>
    </row>
    <row r="260" ht="37.5" customHeight="1">
      <c r="A260" s="2" t="s">
        <v>189</v>
      </c>
      <c r="B260" s="2">
        <v>106.0</v>
      </c>
      <c r="C260" s="2" t="s">
        <v>24</v>
      </c>
      <c r="D260" s="2">
        <v>101.0</v>
      </c>
      <c r="E260" s="2" t="s">
        <v>8</v>
      </c>
      <c r="F260" s="2" t="str">
        <f>IMAGE("https://mcgrathscove.ca/connor/isaaccostumes/n_forgotten_bomb_body.png")</f>
        <v/>
      </c>
    </row>
    <row r="261" ht="37.5" customHeight="1">
      <c r="A261" s="4" t="s">
        <v>189</v>
      </c>
      <c r="B261" s="4">
        <v>106.0</v>
      </c>
      <c r="C261" s="4" t="s">
        <v>24</v>
      </c>
      <c r="D261" s="4">
        <v>101.0</v>
      </c>
      <c r="E261" s="4" t="s">
        <v>33</v>
      </c>
      <c r="F261" s="4" t="str">
        <f>IMAGE("https://mcgrathscove.ca/connor/isaaccostumes/n_forgotten_bomb_head.png")</f>
        <v/>
      </c>
    </row>
    <row r="262" ht="37.5" customHeight="1">
      <c r="A262" s="2" t="s">
        <v>189</v>
      </c>
      <c r="B262" s="2">
        <v>106.0</v>
      </c>
      <c r="C262" s="2" t="s">
        <v>24</v>
      </c>
      <c r="D262" s="2">
        <v>101.0</v>
      </c>
      <c r="E262" s="2" t="s">
        <v>28</v>
      </c>
      <c r="F262" s="2" t="str">
        <f>IMAGE("https://mcgrathscove.ca/connor/isaaccostumes/n_forgotten_bomb_head1.png")</f>
        <v/>
      </c>
    </row>
    <row r="263" ht="37.5" customHeight="1">
      <c r="A263" s="4" t="s">
        <v>190</v>
      </c>
      <c r="B263" s="4">
        <v>108.0</v>
      </c>
      <c r="C263" s="4" t="s">
        <v>20</v>
      </c>
      <c r="D263" s="4">
        <v>0.0</v>
      </c>
      <c r="E263" s="4" t="s">
        <v>66</v>
      </c>
      <c r="F263" s="4" t="str">
        <f>IMAGE("https://mcgrathscove.ca/connor/isaaccostumes/108_the_wafer_glow.png")</f>
        <v/>
      </c>
    </row>
    <row r="264" ht="37.5" customHeight="1">
      <c r="A264" s="2" t="s">
        <v>191</v>
      </c>
      <c r="B264" s="2">
        <v>108.0</v>
      </c>
      <c r="C264" s="2" t="s">
        <v>24</v>
      </c>
      <c r="D264" s="2">
        <v>99.0</v>
      </c>
      <c r="E264" s="2" t="s">
        <v>21</v>
      </c>
      <c r="F264" s="2" t="str">
        <f>IMAGE("https://mcgrathscove.ca/connor/isaaccostumes/character_b17_jacob2_head0.png")</f>
        <v/>
      </c>
    </row>
    <row r="265" ht="37.5" customHeight="1">
      <c r="A265" s="4" t="s">
        <v>192</v>
      </c>
      <c r="B265" s="4">
        <v>109.0</v>
      </c>
      <c r="C265" s="4" t="s">
        <v>20</v>
      </c>
      <c r="D265" s="4">
        <v>0.0</v>
      </c>
      <c r="E265" s="4" t="s">
        <v>25</v>
      </c>
      <c r="F265" s="4" t="str">
        <f>IMAGE("https://mcgrathscove.ca/connor/isaaccostumes/109_money__power_head3.png")</f>
        <v/>
      </c>
    </row>
    <row r="266" ht="37.5" customHeight="1">
      <c r="A266" s="2" t="s">
        <v>193</v>
      </c>
      <c r="B266" s="2">
        <v>110.0</v>
      </c>
      <c r="C266" s="2" t="s">
        <v>20</v>
      </c>
      <c r="D266" s="2">
        <v>0.0</v>
      </c>
      <c r="E266" s="2" t="s">
        <v>41</v>
      </c>
      <c r="F266" s="2" t="str">
        <f>IMAGE("https://mcgrathscove.ca/connor/isaaccostumes/110_moms_contacts_head2.png")</f>
        <v/>
      </c>
    </row>
    <row r="267" ht="37.5" customHeight="1">
      <c r="A267" s="4" t="s">
        <v>194</v>
      </c>
      <c r="B267" s="4">
        <v>110.0</v>
      </c>
      <c r="C267" s="4" t="s">
        <v>24</v>
      </c>
      <c r="D267" s="4">
        <v>99.0</v>
      </c>
      <c r="E267" s="4" t="s">
        <v>15</v>
      </c>
      <c r="F267" s="4" t="str">
        <f>IMAGE("https://mcgrathscove.ca/connor/isaaccostumes/n_bloody_babylon_body0.png")</f>
        <v/>
      </c>
    </row>
    <row r="268" ht="37.5" customHeight="1">
      <c r="A268" s="2" t="s">
        <v>194</v>
      </c>
      <c r="B268" s="2">
        <v>110.0</v>
      </c>
      <c r="C268" s="2" t="s">
        <v>24</v>
      </c>
      <c r="D268" s="2">
        <v>99.0</v>
      </c>
      <c r="E268" s="2" t="s">
        <v>33</v>
      </c>
      <c r="F268" s="2" t="str">
        <f>IMAGE("https://mcgrathscove.ca/connor/isaaccostumes/n_bloody_babylon_head.png")</f>
        <v/>
      </c>
    </row>
    <row r="269" ht="37.5" customHeight="1">
      <c r="A269" s="4" t="s">
        <v>194</v>
      </c>
      <c r="B269" s="4">
        <v>110.0</v>
      </c>
      <c r="C269" s="4" t="s">
        <v>24</v>
      </c>
      <c r="D269" s="4">
        <v>99.0</v>
      </c>
      <c r="E269" s="4" t="s">
        <v>25</v>
      </c>
      <c r="F269" s="4" t="str">
        <f>IMAGE("https://mcgrathscove.ca/connor/isaaccostumes/n_bloody_babylon_head3.png")</f>
        <v/>
      </c>
    </row>
    <row r="270" ht="37.5" customHeight="1">
      <c r="A270" s="2" t="s">
        <v>195</v>
      </c>
      <c r="B270" s="2">
        <v>112.0</v>
      </c>
      <c r="C270" s="2" t="s">
        <v>24</v>
      </c>
      <c r="D270" s="2">
        <v>99.0</v>
      </c>
      <c r="E270" s="2" t="s">
        <v>8</v>
      </c>
      <c r="F270" s="2" t="str">
        <f>IMAGE("https://mcgrathscove.ca/connor/isaaccostumes/n_lost_curse_body.png")</f>
        <v/>
      </c>
    </row>
    <row r="271" ht="37.5" customHeight="1">
      <c r="A271" s="4" t="s">
        <v>195</v>
      </c>
      <c r="B271" s="4">
        <v>112.0</v>
      </c>
      <c r="C271" s="4" t="s">
        <v>24</v>
      </c>
      <c r="D271" s="4">
        <v>99.0</v>
      </c>
      <c r="E271" s="4" t="s">
        <v>33</v>
      </c>
      <c r="F271" s="4" t="str">
        <f>IMAGE("https://mcgrathscove.ca/connor/isaaccostumes/n_lost_curse_head.png")</f>
        <v/>
      </c>
    </row>
    <row r="272" ht="37.5" customHeight="1">
      <c r="A272" s="2" t="s">
        <v>195</v>
      </c>
      <c r="B272" s="2">
        <v>112.0</v>
      </c>
      <c r="C272" s="2" t="s">
        <v>24</v>
      </c>
      <c r="D272" s="2">
        <v>99.0</v>
      </c>
      <c r="E272" s="2" t="s">
        <v>38</v>
      </c>
      <c r="F272" s="2" t="str">
        <f>IMAGE("https://mcgrathscove.ca/connor/isaaccostumes/n_lost_curse_top0.png")</f>
        <v/>
      </c>
    </row>
    <row r="273" ht="37.5" customHeight="1">
      <c r="A273" s="4" t="s">
        <v>196</v>
      </c>
      <c r="B273" s="4">
        <v>115.0</v>
      </c>
      <c r="C273" s="4" t="s">
        <v>20</v>
      </c>
      <c r="D273" s="4">
        <v>0.0</v>
      </c>
      <c r="E273" s="4" t="s">
        <v>33</v>
      </c>
      <c r="F273" s="4" t="str">
        <f>IMAGE("https://mcgrathscove.ca/connor/isaaccostumes/115_ouija_board_head.png")</f>
        <v/>
      </c>
    </row>
    <row r="274" ht="37.5" customHeight="1">
      <c r="A274" s="2" t="s">
        <v>197</v>
      </c>
      <c r="B274" s="2">
        <v>116.0</v>
      </c>
      <c r="C274" s="2" t="s">
        <v>20</v>
      </c>
      <c r="D274" s="2">
        <v>0.0</v>
      </c>
      <c r="E274" s="2" t="s">
        <v>25</v>
      </c>
      <c r="F274" s="2" t="str">
        <f>IMAGE("https://mcgrathscove.ca/connor/isaaccostumes/116_9_volt_head3.png")</f>
        <v/>
      </c>
    </row>
    <row r="275" ht="37.5" customHeight="1">
      <c r="A275" s="4" t="s">
        <v>198</v>
      </c>
      <c r="B275" s="4">
        <v>117.0</v>
      </c>
      <c r="C275" s="4" t="s">
        <v>20</v>
      </c>
      <c r="D275" s="4">
        <v>0.0</v>
      </c>
      <c r="E275" s="4" t="s">
        <v>42</v>
      </c>
      <c r="F275" s="4" t="str">
        <f>IMAGE("https://mcgrathscove.ca/connor/isaaccostumes/117_dead_bird_head4.png")</f>
        <v/>
      </c>
    </row>
    <row r="276" ht="37.5" customHeight="1">
      <c r="A276" s="2" t="s">
        <v>199</v>
      </c>
      <c r="B276" s="2">
        <v>117.0</v>
      </c>
      <c r="C276" s="2" t="s">
        <v>24</v>
      </c>
      <c r="D276" s="2">
        <v>1.0</v>
      </c>
      <c r="E276" s="2" t="s">
        <v>33</v>
      </c>
      <c r="F276" s="2" t="str">
        <f>IMAGE("https://mcgrathscove.ca/connor/isaaccostumes/n_hemoptysis_head.png")</f>
        <v/>
      </c>
    </row>
    <row r="277" ht="37.5" customHeight="1">
      <c r="A277" s="4" t="s">
        <v>200</v>
      </c>
      <c r="B277" s="4">
        <v>118.0</v>
      </c>
      <c r="C277" s="4" t="s">
        <v>20</v>
      </c>
      <c r="D277" s="4">
        <v>23.0</v>
      </c>
      <c r="E277" s="4" t="s">
        <v>33</v>
      </c>
      <c r="F277" s="4" t="str">
        <f>IMAGE("https://mcgrathscove.ca/connor/isaaccostumes/118_brimstone_head.png")</f>
        <v/>
      </c>
    </row>
    <row r="278" ht="37.5" customHeight="1">
      <c r="A278" s="2" t="s">
        <v>200</v>
      </c>
      <c r="B278" s="2">
        <v>118.0</v>
      </c>
      <c r="C278" s="2" t="s">
        <v>20</v>
      </c>
      <c r="D278" s="2">
        <v>23.0</v>
      </c>
      <c r="E278" s="2" t="s">
        <v>8</v>
      </c>
      <c r="F278" s="2" t="str">
        <f>IMAGE("https://mcgrathscove.ca/connor/isaaccostumes/118_brimstone_body.png")</f>
        <v/>
      </c>
    </row>
    <row r="279" ht="37.5" customHeight="1">
      <c r="A279" s="4" t="s">
        <v>201</v>
      </c>
      <c r="B279" s="4">
        <v>118.0</v>
      </c>
      <c r="C279" s="4" t="s">
        <v>24</v>
      </c>
      <c r="D279" s="4">
        <v>1.0</v>
      </c>
      <c r="E279" s="4" t="s">
        <v>33</v>
      </c>
      <c r="F279" s="4" t="str">
        <f>IMAGE("https://mcgrathscove.ca/connor/isaaccostumes/n_i_found_horse_pills_head.png")</f>
        <v/>
      </c>
    </row>
    <row r="280" ht="37.5" customHeight="1">
      <c r="A280" s="2" t="s">
        <v>202</v>
      </c>
      <c r="B280" s="2">
        <v>119.0</v>
      </c>
      <c r="C280" s="2" t="s">
        <v>20</v>
      </c>
      <c r="D280" s="2">
        <v>0.0</v>
      </c>
      <c r="E280" s="2" t="s">
        <v>28</v>
      </c>
      <c r="F280" s="2" t="str">
        <f>IMAGE("https://mcgrathscove.ca/connor/isaaccostumes/119_blood_bag_head1.png")</f>
        <v/>
      </c>
    </row>
    <row r="281" ht="37.5" customHeight="1">
      <c r="A281" s="4" t="s">
        <v>203</v>
      </c>
      <c r="B281" s="4">
        <v>119.0</v>
      </c>
      <c r="C281" s="4" t="s">
        <v>24</v>
      </c>
      <c r="D281" s="4">
        <v>0.0</v>
      </c>
      <c r="E281" s="4" t="s">
        <v>28</v>
      </c>
      <c r="F281" s="4" t="str">
        <f>IMAGE("https://mcgrathscove.ca/connor/isaaccostumes/n_horse_puberty_head1.png")</f>
        <v/>
      </c>
    </row>
    <row r="282" ht="37.5" customHeight="1">
      <c r="A282" s="2" t="s">
        <v>204</v>
      </c>
      <c r="B282" s="2">
        <v>122.0</v>
      </c>
      <c r="C282" s="2" t="s">
        <v>20</v>
      </c>
      <c r="D282" s="2">
        <v>1.0</v>
      </c>
      <c r="E282" s="2" t="s">
        <v>8</v>
      </c>
      <c r="F282" s="2" t="str">
        <f>IMAGE("https://mcgrathscove.ca/connor/isaaccostumes/122_whore_of_babylon_body.png")</f>
        <v/>
      </c>
    </row>
    <row r="283" ht="37.5" customHeight="1">
      <c r="A283" s="4" t="s">
        <v>204</v>
      </c>
      <c r="B283" s="4">
        <v>122.0</v>
      </c>
      <c r="C283" s="4" t="s">
        <v>20</v>
      </c>
      <c r="D283" s="4">
        <v>1.0</v>
      </c>
      <c r="E283" s="4" t="s">
        <v>33</v>
      </c>
      <c r="F283" s="4" t="str">
        <f>IMAGE("https://mcgrathscove.ca/connor/isaaccostumes/122_whore_of_babylon_head.png")</f>
        <v/>
      </c>
    </row>
    <row r="284" ht="37.5" customHeight="1">
      <c r="A284" s="2" t="s">
        <v>204</v>
      </c>
      <c r="B284" s="2">
        <v>122.0</v>
      </c>
      <c r="C284" s="2" t="s">
        <v>20</v>
      </c>
      <c r="D284" s="2">
        <v>1.0</v>
      </c>
      <c r="E284" s="2" t="s">
        <v>25</v>
      </c>
      <c r="F284" s="2" t="str">
        <f>IMAGE("https://mcgrathscove.ca/connor/isaaccostumes/122_whore_of_babylon_head3.png")</f>
        <v/>
      </c>
    </row>
    <row r="285" ht="37.5" customHeight="1">
      <c r="A285" s="4" t="s">
        <v>205</v>
      </c>
      <c r="B285" s="4">
        <v>125.0</v>
      </c>
      <c r="C285" s="4" t="s">
        <v>24</v>
      </c>
      <c r="D285" s="4">
        <v>0.0</v>
      </c>
      <c r="E285" s="4" t="s">
        <v>41</v>
      </c>
      <c r="F285" s="4" t="str">
        <f>IMAGE("https://mcgrathscove.ca/connor/isaaccostumes/n_double_guppyseye_head2.png")</f>
        <v/>
      </c>
    </row>
    <row r="286" ht="37.5" customHeight="1">
      <c r="A286" s="2" t="s">
        <v>206</v>
      </c>
      <c r="B286" s="2">
        <v>126.0</v>
      </c>
      <c r="C286" s="2" t="s">
        <v>24</v>
      </c>
      <c r="D286" s="2">
        <v>0.0</v>
      </c>
      <c r="E286" s="2" t="s">
        <v>41</v>
      </c>
      <c r="F286" s="2" t="str">
        <f>IMAGE("https://mcgrathscove.ca/connor/isaaccostumes/n_double_glasseye_head2.png")</f>
        <v/>
      </c>
    </row>
    <row r="287" ht="37.5" customHeight="1">
      <c r="A287" s="4" t="s">
        <v>207</v>
      </c>
      <c r="B287" s="4">
        <v>130.0</v>
      </c>
      <c r="C287" s="4" t="s">
        <v>20</v>
      </c>
      <c r="D287" s="4">
        <v>23.0</v>
      </c>
      <c r="E287" s="4" t="s">
        <v>8</v>
      </c>
      <c r="F287" s="4" t="str">
        <f>IMAGE("https://mcgrathscove.ca/connor/isaaccostumes/130_pony_body.png")</f>
        <v/>
      </c>
    </row>
    <row r="288" ht="37.5" customHeight="1">
      <c r="A288" s="2" t="s">
        <v>207</v>
      </c>
      <c r="B288" s="2">
        <v>130.0</v>
      </c>
      <c r="C288" s="2" t="s">
        <v>20</v>
      </c>
      <c r="D288" s="2">
        <v>23.0</v>
      </c>
      <c r="E288" s="2" t="s">
        <v>15</v>
      </c>
      <c r="F288" s="2" t="str">
        <f>IMAGE("https://mcgrathscove.ca/connor/isaaccostumes/130_pony_body0.png")</f>
        <v/>
      </c>
    </row>
    <row r="289" ht="37.5" customHeight="1">
      <c r="A289" s="4" t="s">
        <v>207</v>
      </c>
      <c r="B289" s="4">
        <v>130.0</v>
      </c>
      <c r="C289" s="4" t="s">
        <v>20</v>
      </c>
      <c r="D289" s="4">
        <v>23.0</v>
      </c>
      <c r="E289" s="4" t="s">
        <v>38</v>
      </c>
      <c r="F289" s="4" t="str">
        <f>IMAGE("https://mcgrathscove.ca/connor/isaaccostumes/130_pony_top0.png")</f>
        <v/>
      </c>
    </row>
    <row r="290" ht="37.5" customHeight="1">
      <c r="A290" s="2" t="s">
        <v>208</v>
      </c>
      <c r="B290" s="2">
        <v>132.0</v>
      </c>
      <c r="C290" s="2" t="s">
        <v>20</v>
      </c>
      <c r="D290" s="2">
        <v>0.0</v>
      </c>
      <c r="E290" s="2" t="s">
        <v>41</v>
      </c>
      <c r="F290" s="2" t="str">
        <f>IMAGE("https://mcgrathscove.ca/connor/isaaccostumes/132_a_lump_of_coal_head2.png")</f>
        <v/>
      </c>
    </row>
    <row r="291" ht="37.5" customHeight="1">
      <c r="A291" s="4" t="s">
        <v>209</v>
      </c>
      <c r="B291" s="4">
        <v>134.0</v>
      </c>
      <c r="C291" s="4" t="s">
        <v>20</v>
      </c>
      <c r="D291" s="4">
        <v>0.0</v>
      </c>
      <c r="E291" s="4" t="s">
        <v>15</v>
      </c>
      <c r="F291" s="4" t="str">
        <f>IMAGE("https://mcgrathscove.ca/connor/isaaccostumes/134_guppys_tail_body0.png")</f>
        <v/>
      </c>
    </row>
    <row r="292" ht="37.5" customHeight="1">
      <c r="A292" s="2" t="s">
        <v>210</v>
      </c>
      <c r="B292" s="2">
        <v>138.0</v>
      </c>
      <c r="C292" s="2" t="s">
        <v>20</v>
      </c>
      <c r="D292" s="2">
        <v>0.0</v>
      </c>
      <c r="E292" s="2" t="s">
        <v>28</v>
      </c>
      <c r="F292" s="2" t="str">
        <f>IMAGE("https://mcgrathscove.ca/connor/isaaccostumes/138_stigmata_head1.png")</f>
        <v/>
      </c>
    </row>
    <row r="293" ht="37.5" customHeight="1">
      <c r="A293" s="4" t="s">
        <v>211</v>
      </c>
      <c r="B293" s="4">
        <v>139.0</v>
      </c>
      <c r="C293" s="4" t="s">
        <v>20</v>
      </c>
      <c r="D293" s="4">
        <v>0.0</v>
      </c>
      <c r="E293" s="4" t="s">
        <v>44</v>
      </c>
      <c r="F293" s="4" t="str">
        <f>IMAGE("https://mcgrathscove.ca/connor/isaaccostumes/139_moms_purse_body1.png")</f>
        <v/>
      </c>
    </row>
    <row r="294" ht="37.5" customHeight="1">
      <c r="A294" s="2" t="s">
        <v>212</v>
      </c>
      <c r="B294" s="2">
        <v>140.0</v>
      </c>
      <c r="C294" s="2" t="s">
        <v>20</v>
      </c>
      <c r="D294" s="2">
        <v>0.0</v>
      </c>
      <c r="E294" s="2" t="s">
        <v>33</v>
      </c>
      <c r="F294" s="2" t="str">
        <f>IMAGE("https://mcgrathscove.ca/connor/isaaccostumes/140_bobs_curse_head.png")</f>
        <v/>
      </c>
    </row>
    <row r="295" ht="37.5" customHeight="1">
      <c r="A295" s="4" t="s">
        <v>213</v>
      </c>
      <c r="B295" s="4">
        <v>141.0</v>
      </c>
      <c r="C295" s="4" t="s">
        <v>20</v>
      </c>
      <c r="D295" s="4">
        <v>0.0</v>
      </c>
      <c r="E295" s="4" t="s">
        <v>42</v>
      </c>
      <c r="F295" s="4" t="str">
        <f>IMAGE("https://mcgrathscove.ca/connor/isaaccostumes/141_pageant_boy_head4.png")</f>
        <v/>
      </c>
    </row>
    <row r="296" ht="37.5" customHeight="1">
      <c r="A296" s="2" t="s">
        <v>214</v>
      </c>
      <c r="B296" s="2">
        <v>142.0</v>
      </c>
      <c r="C296" s="2" t="s">
        <v>20</v>
      </c>
      <c r="D296" s="2">
        <v>0.0</v>
      </c>
      <c r="E296" s="2" t="s">
        <v>66</v>
      </c>
      <c r="F296" s="2" t="str">
        <f>IMAGE("https://mcgrathscove.ca/connor/isaaccostumes/142_scapular_glow.png")</f>
        <v/>
      </c>
    </row>
    <row r="297" ht="37.5" customHeight="1">
      <c r="A297" s="4" t="s">
        <v>215</v>
      </c>
      <c r="B297" s="4">
        <v>143.0</v>
      </c>
      <c r="C297" s="4" t="s">
        <v>20</v>
      </c>
      <c r="D297" s="4">
        <v>0.0</v>
      </c>
      <c r="E297" s="4" t="s">
        <v>33</v>
      </c>
      <c r="F297" s="4" t="str">
        <f>IMAGE("https://mcgrathscove.ca/connor/isaaccostumes/143_speed_ball_head.png")</f>
        <v/>
      </c>
    </row>
    <row r="298" ht="37.5" customHeight="1">
      <c r="A298" s="2" t="s">
        <v>216</v>
      </c>
      <c r="B298" s="2">
        <v>148.0</v>
      </c>
      <c r="C298" s="2" t="s">
        <v>20</v>
      </c>
      <c r="D298" s="2">
        <v>0.0</v>
      </c>
      <c r="E298" s="2" t="s">
        <v>8</v>
      </c>
      <c r="F298" s="2" t="str">
        <f>IMAGE("https://mcgrathscove.ca/connor/isaaccostumes/148_infestation_body.png")</f>
        <v/>
      </c>
    </row>
    <row r="299" ht="37.5" customHeight="1">
      <c r="A299" s="4" t="s">
        <v>216</v>
      </c>
      <c r="B299" s="4">
        <v>148.0</v>
      </c>
      <c r="C299" s="4" t="s">
        <v>20</v>
      </c>
      <c r="D299" s="4">
        <v>0.0</v>
      </c>
      <c r="E299" s="4" t="s">
        <v>33</v>
      </c>
      <c r="F299" s="4" t="str">
        <f>IMAGE("https://mcgrathscove.ca/connor/isaaccostumes/148_infestation_head.png")</f>
        <v/>
      </c>
    </row>
    <row r="300" ht="37.5" customHeight="1">
      <c r="A300" s="2" t="s">
        <v>217</v>
      </c>
      <c r="B300" s="2">
        <v>149.0</v>
      </c>
      <c r="C300" s="2" t="s">
        <v>20</v>
      </c>
      <c r="D300" s="2">
        <v>0.0</v>
      </c>
      <c r="E300" s="2" t="s">
        <v>33</v>
      </c>
      <c r="F300" s="2" t="str">
        <f>IMAGE("https://mcgrathscove.ca/connor/isaaccostumes/149_ipecac_head.png")</f>
        <v/>
      </c>
    </row>
    <row r="301" ht="37.5" customHeight="1">
      <c r="A301" s="4" t="s">
        <v>218</v>
      </c>
      <c r="B301" s="4">
        <v>150.0</v>
      </c>
      <c r="C301" s="4" t="s">
        <v>20</v>
      </c>
      <c r="D301" s="4">
        <v>0.0</v>
      </c>
      <c r="E301" s="4" t="s">
        <v>28</v>
      </c>
      <c r="F301" s="4" t="str">
        <f>IMAGE("https://mcgrathscove.ca/connor/isaaccostumes/150_tough_love_head1.png")</f>
        <v/>
      </c>
    </row>
    <row r="302" ht="37.5" customHeight="1">
      <c r="A302" s="2" t="s">
        <v>219</v>
      </c>
      <c r="B302" s="2">
        <v>151.0</v>
      </c>
      <c r="C302" s="2" t="s">
        <v>20</v>
      </c>
      <c r="D302" s="2">
        <v>0.0</v>
      </c>
      <c r="E302" s="2" t="s">
        <v>33</v>
      </c>
      <c r="F302" s="2" t="str">
        <f>IMAGE("https://mcgrathscove.ca/connor/isaaccostumes/151_the_mulligan_head.png")</f>
        <v/>
      </c>
    </row>
    <row r="303" ht="37.5" customHeight="1">
      <c r="A303" s="4" t="s">
        <v>220</v>
      </c>
      <c r="B303" s="4">
        <v>152.0</v>
      </c>
      <c r="C303" s="4" t="s">
        <v>20</v>
      </c>
      <c r="D303" s="4">
        <v>0.0</v>
      </c>
      <c r="E303" s="4" t="s">
        <v>41</v>
      </c>
      <c r="F303" s="4" t="str">
        <f>IMAGE("https://mcgrathscove.ca/connor/isaaccostumes/152_technology_2_head2.png")</f>
        <v/>
      </c>
    </row>
    <row r="304" ht="37.5" customHeight="1">
      <c r="A304" s="2" t="s">
        <v>221</v>
      </c>
      <c r="B304" s="2">
        <v>153.0</v>
      </c>
      <c r="C304" s="2" t="s">
        <v>20</v>
      </c>
      <c r="D304" s="2">
        <v>0.0</v>
      </c>
      <c r="E304" s="2" t="s">
        <v>28</v>
      </c>
      <c r="F304" s="2" t="str">
        <f>IMAGE("https://mcgrathscove.ca/connor/isaaccostumes/153_mutant_spider_head1.png")</f>
        <v/>
      </c>
    </row>
    <row r="305" ht="37.5" customHeight="1">
      <c r="A305" s="4" t="s">
        <v>222</v>
      </c>
      <c r="B305" s="4">
        <v>154.0</v>
      </c>
      <c r="C305" s="4" t="s">
        <v>20</v>
      </c>
      <c r="D305" s="4">
        <v>0.0</v>
      </c>
      <c r="E305" s="4" t="s">
        <v>33</v>
      </c>
      <c r="F305" s="4" t="str">
        <f>IMAGE("https://mcgrathscove.ca/connor/isaaccostumes/154_chemical_peel_head.png")</f>
        <v/>
      </c>
    </row>
    <row r="306" ht="37.5" customHeight="1">
      <c r="A306" s="2" t="s">
        <v>223</v>
      </c>
      <c r="B306" s="2">
        <v>155.0</v>
      </c>
      <c r="C306" s="2" t="s">
        <v>224</v>
      </c>
      <c r="D306" s="2">
        <v>0.0</v>
      </c>
      <c r="E306" s="2" t="s">
        <v>28</v>
      </c>
      <c r="F306" s="2" t="str">
        <f>IMAGE("https://mcgrathscove.ca/connor/isaaccostumes/155_the_peeper_head1.png")</f>
        <v/>
      </c>
    </row>
    <row r="307" ht="37.5" customHeight="1">
      <c r="A307" s="4" t="s">
        <v>225</v>
      </c>
      <c r="B307" s="4">
        <v>156.0</v>
      </c>
      <c r="C307" s="4" t="s">
        <v>20</v>
      </c>
      <c r="D307" s="4">
        <v>0.0</v>
      </c>
      <c r="E307" s="4" t="s">
        <v>42</v>
      </c>
      <c r="F307" s="4" t="str">
        <f>IMAGE("https://mcgrathscove.ca/connor/isaaccostumes/156_habit_head4.png")</f>
        <v/>
      </c>
    </row>
    <row r="308" ht="37.5" customHeight="1">
      <c r="A308" s="2" t="s">
        <v>226</v>
      </c>
      <c r="B308" s="2">
        <v>157.0</v>
      </c>
      <c r="C308" s="2" t="s">
        <v>20</v>
      </c>
      <c r="D308" s="2">
        <v>0.0</v>
      </c>
      <c r="E308" s="2" t="s">
        <v>42</v>
      </c>
      <c r="F308" s="2" t="str">
        <f>IMAGE("https://mcgrathscove.ca/connor/isaaccostumes/157_blood_lust_head4.png")</f>
        <v/>
      </c>
    </row>
    <row r="309" ht="37.5" customHeight="1">
      <c r="A309" s="4" t="s">
        <v>227</v>
      </c>
      <c r="B309" s="4">
        <v>159.0</v>
      </c>
      <c r="C309" s="4" t="s">
        <v>20</v>
      </c>
      <c r="D309" s="4">
        <v>0.0</v>
      </c>
      <c r="E309" s="4" t="s">
        <v>33</v>
      </c>
      <c r="F309" s="4" t="str">
        <f>IMAGE("https://mcgrathscove.ca/connor/isaaccostumes/159_spirit_of_the_night_head.png")</f>
        <v/>
      </c>
    </row>
    <row r="310" ht="37.5" customHeight="1">
      <c r="A310" s="2" t="s">
        <v>227</v>
      </c>
      <c r="B310" s="2">
        <v>159.0</v>
      </c>
      <c r="C310" s="2" t="s">
        <v>20</v>
      </c>
      <c r="D310" s="2">
        <v>0.0</v>
      </c>
      <c r="E310" s="2" t="s">
        <v>8</v>
      </c>
      <c r="F310" s="2" t="str">
        <f>IMAGE("https://mcgrathscove.ca/connor/isaaccostumes/159_spirit_of_the_night_body.png")</f>
        <v/>
      </c>
    </row>
    <row r="311" ht="37.5" customHeight="1">
      <c r="A311" s="4" t="s">
        <v>227</v>
      </c>
      <c r="B311" s="4">
        <v>159.0</v>
      </c>
      <c r="C311" s="4" t="s">
        <v>20</v>
      </c>
      <c r="D311" s="4">
        <v>0.0</v>
      </c>
      <c r="E311" s="4" t="s">
        <v>38</v>
      </c>
      <c r="F311" s="4" t="str">
        <f>IMAGE("https://mcgrathscove.ca/connor/isaaccostumes/159_spirit_of_the_night_top0.png")</f>
        <v/>
      </c>
    </row>
    <row r="312" ht="37.5" customHeight="1">
      <c r="A312" s="2" t="s">
        <v>228</v>
      </c>
      <c r="B312" s="2">
        <v>161.0</v>
      </c>
      <c r="C312" s="2" t="s">
        <v>20</v>
      </c>
      <c r="D312" s="2">
        <v>0.0</v>
      </c>
      <c r="E312" s="2" t="s">
        <v>44</v>
      </c>
      <c r="F312" s="2" t="str">
        <f>IMAGE("https://mcgrathscove.ca/connor/isaaccostumes/161_ankh_body1.png")</f>
        <v/>
      </c>
    </row>
    <row r="313" ht="37.5" customHeight="1">
      <c r="A313" s="4" t="s">
        <v>229</v>
      </c>
      <c r="B313" s="4">
        <v>162.0</v>
      </c>
      <c r="C313" s="4" t="s">
        <v>20</v>
      </c>
      <c r="D313" s="4">
        <v>0.0</v>
      </c>
      <c r="E313" s="4" t="s">
        <v>66</v>
      </c>
      <c r="F313" s="4" t="str">
        <f>IMAGE("https://mcgrathscove.ca/connor/isaaccostumes/162_celtic_cross_glow.png")</f>
        <v/>
      </c>
    </row>
    <row r="314" ht="37.5" customHeight="1">
      <c r="A314" s="2" t="s">
        <v>230</v>
      </c>
      <c r="B314" s="2">
        <v>162.0</v>
      </c>
      <c r="C314" s="2" t="s">
        <v>101</v>
      </c>
      <c r="D314" s="2">
        <v>23.0</v>
      </c>
      <c r="E314" s="2" t="s">
        <v>33</v>
      </c>
      <c r="F314" s="2" t="str">
        <f>IMAGE("https://mcgrathscove.ca/connor/isaaccostumes/character_008_azazelhead_head.png")</f>
        <v/>
      </c>
    </row>
    <row r="315" ht="37.5" customHeight="1">
      <c r="A315" s="4" t="s">
        <v>230</v>
      </c>
      <c r="B315" s="4">
        <v>162.0</v>
      </c>
      <c r="C315" s="4" t="s">
        <v>101</v>
      </c>
      <c r="D315" s="4">
        <v>23.0</v>
      </c>
      <c r="E315" s="4" t="s">
        <v>8</v>
      </c>
      <c r="F315" s="4" t="str">
        <f>IMAGE("https://mcgrathscove.ca/connor/isaaccostumes/character_008_azazelhead_body.png")</f>
        <v/>
      </c>
    </row>
    <row r="316" ht="37.5" customHeight="1">
      <c r="A316" s="2" t="s">
        <v>230</v>
      </c>
      <c r="B316" s="2">
        <v>162.0</v>
      </c>
      <c r="C316" s="2" t="s">
        <v>101</v>
      </c>
      <c r="D316" s="2">
        <v>23.0</v>
      </c>
      <c r="E316" s="2" t="s">
        <v>38</v>
      </c>
      <c r="F316" s="2" t="str">
        <f>IMAGE("https://mcgrathscove.ca/connor/isaaccostumes/character_008_azazelhead_top0.png")</f>
        <v/>
      </c>
    </row>
    <row r="317" ht="37.5" customHeight="1">
      <c r="A317" s="4" t="s">
        <v>231</v>
      </c>
      <c r="B317" s="4">
        <v>165.0</v>
      </c>
      <c r="C317" s="4" t="s">
        <v>20</v>
      </c>
      <c r="D317" s="4">
        <v>0.0</v>
      </c>
      <c r="E317" s="4" t="s">
        <v>28</v>
      </c>
      <c r="F317" s="4" t="str">
        <f>IMAGE("https://mcgrathscove.ca/connor/isaaccostumes/165_cat-o-nine-tails_head1.png")</f>
        <v/>
      </c>
    </row>
    <row r="318" ht="37.5" customHeight="1">
      <c r="A318" s="2" t="s">
        <v>232</v>
      </c>
      <c r="B318" s="2">
        <v>168.0</v>
      </c>
      <c r="C318" s="2" t="s">
        <v>20</v>
      </c>
      <c r="D318" s="2">
        <v>0.0</v>
      </c>
      <c r="E318" s="2" t="s">
        <v>42</v>
      </c>
      <c r="F318" s="2" t="str">
        <f>IMAGE("https://mcgrathscove.ca/connor/isaaccostumes/168_epic_fetus_head4.png")</f>
        <v/>
      </c>
    </row>
    <row r="319" ht="37.5" customHeight="1">
      <c r="A319" s="4" t="s">
        <v>233</v>
      </c>
      <c r="B319" s="4">
        <v>169.0</v>
      </c>
      <c r="C319" s="4" t="s">
        <v>20</v>
      </c>
      <c r="D319" s="4">
        <v>0.0</v>
      </c>
      <c r="E319" s="4" t="s">
        <v>33</v>
      </c>
      <c r="F319" s="4" t="str">
        <f>IMAGE("https://mcgrathscove.ca/connor/isaaccostumes/169_polyphemus_head.png")</f>
        <v/>
      </c>
    </row>
    <row r="320" ht="37.5" customHeight="1">
      <c r="A320" s="2" t="s">
        <v>234</v>
      </c>
      <c r="B320" s="2">
        <v>173.0</v>
      </c>
      <c r="C320" s="2" t="s">
        <v>20</v>
      </c>
      <c r="D320" s="2">
        <v>0.0</v>
      </c>
      <c r="E320" s="2" t="s">
        <v>66</v>
      </c>
      <c r="F320" s="2" t="str">
        <f>IMAGE("https://mcgrathscove.ca/connor/isaaccostumes/173_mitre_glow.png")</f>
        <v/>
      </c>
    </row>
    <row r="321" ht="37.5" customHeight="1">
      <c r="A321" s="4" t="s">
        <v>235</v>
      </c>
      <c r="B321" s="4">
        <v>176.0</v>
      </c>
      <c r="C321" s="4" t="s">
        <v>20</v>
      </c>
      <c r="D321" s="4">
        <v>0.0</v>
      </c>
      <c r="E321" s="4" t="s">
        <v>25</v>
      </c>
      <c r="F321" s="4" t="str">
        <f>IMAGE("https://mcgrathscove.ca/connor/isaaccostumes/176_stem_cells_head3.png")</f>
        <v/>
      </c>
    </row>
    <row r="322" ht="37.5" customHeight="1">
      <c r="A322" s="2" t="s">
        <v>236</v>
      </c>
      <c r="B322" s="2">
        <v>181.0</v>
      </c>
      <c r="C322" s="2" t="s">
        <v>20</v>
      </c>
      <c r="D322" s="2">
        <v>23.0</v>
      </c>
      <c r="E322" s="2" t="s">
        <v>8</v>
      </c>
      <c r="F322" s="2" t="str">
        <f>IMAGE("https://mcgrathscove.ca/connor/isaaccostumes/181_white_pony_body.png")</f>
        <v/>
      </c>
    </row>
    <row r="323" ht="37.5" customHeight="1">
      <c r="A323" s="4" t="s">
        <v>236</v>
      </c>
      <c r="B323" s="4">
        <v>181.0</v>
      </c>
      <c r="C323" s="4" t="s">
        <v>20</v>
      </c>
      <c r="D323" s="4">
        <v>23.0</v>
      </c>
      <c r="E323" s="4" t="s">
        <v>15</v>
      </c>
      <c r="F323" s="4" t="str">
        <f>IMAGE("https://mcgrathscove.ca/connor/isaaccostumes/181_white_pony_body0.png")</f>
        <v/>
      </c>
    </row>
    <row r="324" ht="37.5" customHeight="1">
      <c r="A324" s="2" t="s">
        <v>236</v>
      </c>
      <c r="B324" s="2">
        <v>181.0</v>
      </c>
      <c r="C324" s="2" t="s">
        <v>20</v>
      </c>
      <c r="D324" s="2">
        <v>23.0</v>
      </c>
      <c r="E324" s="2" t="s">
        <v>38</v>
      </c>
      <c r="F324" s="2" t="str">
        <f>IMAGE("https://mcgrathscove.ca/connor/isaaccostumes/181_white_pony_top0.png")</f>
        <v/>
      </c>
    </row>
    <row r="325" ht="37.5" customHeight="1">
      <c r="A325" s="4" t="s">
        <v>237</v>
      </c>
      <c r="B325" s="4">
        <v>182.0</v>
      </c>
      <c r="C325" s="4" t="s">
        <v>20</v>
      </c>
      <c r="D325" s="4">
        <v>0.0</v>
      </c>
      <c r="E325" s="4" t="s">
        <v>41</v>
      </c>
      <c r="F325" s="4" t="str">
        <f>IMAGE("https://mcgrathscove.ca/connor/isaaccostumes/182_sacred_heart_head2.png")</f>
        <v/>
      </c>
    </row>
    <row r="326" ht="37.5" customHeight="1">
      <c r="A326" s="2" t="s">
        <v>238</v>
      </c>
      <c r="B326" s="2">
        <v>183.0</v>
      </c>
      <c r="C326" s="2" t="s">
        <v>20</v>
      </c>
      <c r="D326" s="2">
        <v>0.0</v>
      </c>
      <c r="E326" s="2" t="s">
        <v>41</v>
      </c>
      <c r="F326" s="2" t="str">
        <f>IMAGE("https://mcgrathscove.ca/connor/isaaccostumes/183_tooth_picks_head2.png")</f>
        <v/>
      </c>
    </row>
    <row r="327" ht="37.5" customHeight="1">
      <c r="A327" s="4" t="s">
        <v>239</v>
      </c>
      <c r="B327" s="4">
        <v>184.0</v>
      </c>
      <c r="C327" s="4" t="s">
        <v>20</v>
      </c>
      <c r="D327" s="4">
        <v>0.0</v>
      </c>
      <c r="E327" s="4" t="s">
        <v>8</v>
      </c>
      <c r="F327" s="4" t="str">
        <f>IMAGE("https://mcgrathscove.ca/connor/isaaccostumes/184_holy_grail_body.png")</f>
        <v/>
      </c>
    </row>
    <row r="328" ht="37.5" customHeight="1">
      <c r="A328" s="2" t="s">
        <v>239</v>
      </c>
      <c r="B328" s="2">
        <v>184.0</v>
      </c>
      <c r="C328" s="2" t="s">
        <v>20</v>
      </c>
      <c r="D328" s="2">
        <v>0.0</v>
      </c>
      <c r="E328" s="2" t="s">
        <v>38</v>
      </c>
      <c r="F328" s="2" t="str">
        <f>IMAGE("https://mcgrathscove.ca/connor/isaaccostumes/184_holy_grail_top0.png")</f>
        <v/>
      </c>
    </row>
    <row r="329" ht="37.5" customHeight="1">
      <c r="A329" s="4" t="s">
        <v>239</v>
      </c>
      <c r="B329" s="4">
        <v>184.0</v>
      </c>
      <c r="C329" s="4" t="s">
        <v>20</v>
      </c>
      <c r="D329" s="4">
        <v>0.0</v>
      </c>
      <c r="E329" s="4" t="s">
        <v>66</v>
      </c>
      <c r="F329" s="4" t="str">
        <f>IMAGE("https://mcgrathscove.ca/connor/isaaccostumes/184_holy_grail_glow.png")</f>
        <v/>
      </c>
    </row>
    <row r="330" ht="37.5" customHeight="1">
      <c r="A330" s="2" t="s">
        <v>240</v>
      </c>
      <c r="B330" s="2">
        <v>185.0</v>
      </c>
      <c r="C330" s="2" t="s">
        <v>20</v>
      </c>
      <c r="D330" s="2">
        <v>0.0</v>
      </c>
      <c r="E330" s="2" t="s">
        <v>8</v>
      </c>
      <c r="F330" s="2" t="str">
        <f>IMAGE("https://mcgrathscove.ca/connor/isaaccostumes/185_dead_dove_body.png")</f>
        <v/>
      </c>
    </row>
    <row r="331" ht="37.5" customHeight="1">
      <c r="A331" s="4" t="s">
        <v>240</v>
      </c>
      <c r="B331" s="4">
        <v>185.0</v>
      </c>
      <c r="C331" s="4" t="s">
        <v>20</v>
      </c>
      <c r="D331" s="4">
        <v>0.0</v>
      </c>
      <c r="E331" s="4" t="s">
        <v>33</v>
      </c>
      <c r="F331" s="4" t="str">
        <f>IMAGE("https://mcgrathscove.ca/connor/isaaccostumes/185_dead_dove_head.png")</f>
        <v/>
      </c>
    </row>
    <row r="332" ht="37.5" customHeight="1">
      <c r="A332" s="2" t="s">
        <v>240</v>
      </c>
      <c r="B332" s="2">
        <v>185.0</v>
      </c>
      <c r="C332" s="2" t="s">
        <v>20</v>
      </c>
      <c r="D332" s="2">
        <v>0.0</v>
      </c>
      <c r="E332" s="2" t="s">
        <v>38</v>
      </c>
      <c r="F332" s="2" t="str">
        <f>IMAGE("https://mcgrathscove.ca/connor/isaaccostumes/185_dead_dove_top0.png")</f>
        <v/>
      </c>
    </row>
    <row r="333" ht="37.5" customHeight="1">
      <c r="A333" s="4" t="s">
        <v>241</v>
      </c>
      <c r="B333" s="4">
        <v>189.0</v>
      </c>
      <c r="C333" s="4" t="s">
        <v>20</v>
      </c>
      <c r="D333" s="4">
        <v>0.0</v>
      </c>
      <c r="E333" s="4" t="s">
        <v>33</v>
      </c>
      <c r="F333" s="4" t="str">
        <f>IMAGE("https://mcgrathscove.ca/connor/isaaccostumes/189_smb_super_fan_head.png")</f>
        <v/>
      </c>
    </row>
    <row r="334" ht="37.5" customHeight="1">
      <c r="A334" s="2" t="s">
        <v>241</v>
      </c>
      <c r="B334" s="2">
        <v>189.0</v>
      </c>
      <c r="C334" s="2" t="s">
        <v>20</v>
      </c>
      <c r="D334" s="2">
        <v>0.0</v>
      </c>
      <c r="E334" s="2" t="s">
        <v>8</v>
      </c>
      <c r="F334" s="2" t="str">
        <f>IMAGE("https://mcgrathscove.ca/connor/isaaccostumes/189_smb_super_fan_body.png")</f>
        <v/>
      </c>
    </row>
    <row r="335" ht="37.5" customHeight="1">
      <c r="A335" s="4" t="s">
        <v>242</v>
      </c>
      <c r="B335" s="4">
        <v>190.0</v>
      </c>
      <c r="C335" s="4" t="s">
        <v>20</v>
      </c>
      <c r="D335" s="4">
        <v>0.0</v>
      </c>
      <c r="E335" s="4" t="s">
        <v>41</v>
      </c>
      <c r="F335" s="4" t="str">
        <f>IMAGE("https://mcgrathscove.ca/connor/isaaccostumes/107_pyro_head2.png")</f>
        <v/>
      </c>
    </row>
    <row r="336" ht="37.5" customHeight="1">
      <c r="A336" s="2" t="s">
        <v>243</v>
      </c>
      <c r="B336" s="2">
        <v>191.0</v>
      </c>
      <c r="C336" s="2" t="s">
        <v>20</v>
      </c>
      <c r="D336" s="2">
        <v>0.0</v>
      </c>
      <c r="E336" s="2" t="s">
        <v>33</v>
      </c>
      <c r="F336" s="2" t="str">
        <f>IMAGE("https://mcgrathscove.ca/connor/isaaccostumes/191_3_dollar_bill_head.png")</f>
        <v/>
      </c>
    </row>
    <row r="337" ht="37.5" customHeight="1">
      <c r="A337" s="4" t="s">
        <v>244</v>
      </c>
      <c r="B337" s="4">
        <v>192.0</v>
      </c>
      <c r="C337" s="4" t="s">
        <v>91</v>
      </c>
      <c r="D337" s="4">
        <v>0.0</v>
      </c>
      <c r="E337" s="4" t="s">
        <v>33</v>
      </c>
      <c r="F337" s="4" t="str">
        <f>IMAGE("https://mcgrathscove.ca/connor/isaaccostumes/192_telepathy_for_dummies_head.png")</f>
        <v/>
      </c>
    </row>
    <row r="338" ht="37.5" customHeight="1">
      <c r="A338" s="2" t="s">
        <v>244</v>
      </c>
      <c r="B338" s="2">
        <v>192.0</v>
      </c>
      <c r="C338" s="2" t="s">
        <v>91</v>
      </c>
      <c r="D338" s="2">
        <v>0.0</v>
      </c>
      <c r="E338" s="2" t="s">
        <v>28</v>
      </c>
      <c r="F338" s="2" t="str">
        <f>IMAGE("https://mcgrathscove.ca/connor/isaaccostumes/192_telepathy_for_dummies_head1.png")</f>
        <v/>
      </c>
    </row>
    <row r="339" ht="37.5" customHeight="1">
      <c r="A339" s="4" t="s">
        <v>244</v>
      </c>
      <c r="B339" s="4">
        <v>192.0</v>
      </c>
      <c r="C339" s="4" t="s">
        <v>91</v>
      </c>
      <c r="D339" s="4">
        <v>0.0</v>
      </c>
      <c r="E339" s="4" t="s">
        <v>25</v>
      </c>
      <c r="F339" s="4" t="str">
        <f>IMAGE("https://mcgrathscove.ca/connor/isaaccostumes/192_telepathy_for_dummies_head3.png")</f>
        <v/>
      </c>
    </row>
    <row r="340" ht="37.5" customHeight="1">
      <c r="A340" s="2" t="s">
        <v>245</v>
      </c>
      <c r="B340" s="2">
        <v>193.0</v>
      </c>
      <c r="C340" s="2" t="s">
        <v>20</v>
      </c>
      <c r="D340" s="2">
        <v>0.0</v>
      </c>
      <c r="E340" s="2" t="s">
        <v>28</v>
      </c>
      <c r="F340" s="2" t="str">
        <f>IMAGE("https://mcgrathscove.ca/connor/isaaccostumes/193_meat_head1.png")</f>
        <v/>
      </c>
    </row>
    <row r="341" ht="37.5" customHeight="1">
      <c r="A341" s="4" t="s">
        <v>246</v>
      </c>
      <c r="B341" s="4">
        <v>194.0</v>
      </c>
      <c r="C341" s="4" t="s">
        <v>20</v>
      </c>
      <c r="D341" s="4">
        <v>0.0</v>
      </c>
      <c r="E341" s="4" t="s">
        <v>25</v>
      </c>
      <c r="F341" s="4" t="str">
        <f>IMAGE("https://mcgrathscove.ca/connor/isaaccostumes/194_magic_8_ball_head3.png")</f>
        <v/>
      </c>
    </row>
    <row r="342" ht="37.5" customHeight="1">
      <c r="A342" s="2" t="s">
        <v>247</v>
      </c>
      <c r="B342" s="2">
        <v>195.0</v>
      </c>
      <c r="C342" s="2" t="s">
        <v>20</v>
      </c>
      <c r="D342" s="2">
        <v>0.0</v>
      </c>
      <c r="E342" s="2" t="s">
        <v>15</v>
      </c>
      <c r="F342" s="2" t="str">
        <f>IMAGE("https://mcgrathscove.ca/connor/isaaccostumes/195_moms_coin_purse_body0.png")</f>
        <v/>
      </c>
    </row>
    <row r="343" ht="37.5" customHeight="1">
      <c r="A343" s="4" t="s">
        <v>248</v>
      </c>
      <c r="B343" s="4">
        <v>196.0</v>
      </c>
      <c r="C343" s="4" t="s">
        <v>20</v>
      </c>
      <c r="D343" s="4">
        <v>0.0</v>
      </c>
      <c r="E343" s="4" t="s">
        <v>28</v>
      </c>
      <c r="F343" s="4" t="str">
        <f>IMAGE("https://mcgrathscove.ca/connor/isaaccostumes/196_squeezy_head1.png")</f>
        <v/>
      </c>
    </row>
    <row r="344" ht="37.5" customHeight="1">
      <c r="A344" s="2" t="s">
        <v>249</v>
      </c>
      <c r="B344" s="2">
        <v>197.0</v>
      </c>
      <c r="C344" s="2" t="s">
        <v>20</v>
      </c>
      <c r="D344" s="2">
        <v>0.0</v>
      </c>
      <c r="E344" s="2" t="s">
        <v>28</v>
      </c>
      <c r="F344" s="2" t="str">
        <f>IMAGE("https://mcgrathscove.ca/connor/isaaccostumes/197_jesus_juice_head1.png")</f>
        <v/>
      </c>
    </row>
    <row r="345" ht="37.5" customHeight="1">
      <c r="A345" s="4" t="s">
        <v>250</v>
      </c>
      <c r="B345" s="4">
        <v>198.0</v>
      </c>
      <c r="C345" s="4" t="s">
        <v>20</v>
      </c>
      <c r="D345" s="4">
        <v>0.0</v>
      </c>
      <c r="E345" s="4" t="s">
        <v>15</v>
      </c>
      <c r="F345" s="4" t="str">
        <f>IMAGE("https://mcgrathscove.ca/connor/isaaccostumes/198_box_body0.png")</f>
        <v/>
      </c>
    </row>
    <row r="346" ht="37.5" customHeight="1">
      <c r="A346" s="2" t="s">
        <v>251</v>
      </c>
      <c r="B346" s="2">
        <v>199.0</v>
      </c>
      <c r="C346" s="2" t="s">
        <v>20</v>
      </c>
      <c r="D346" s="2">
        <v>0.0</v>
      </c>
      <c r="E346" s="2" t="s">
        <v>44</v>
      </c>
      <c r="F346" s="2" t="str">
        <f>IMAGE("https://mcgrathscove.ca/connor/isaaccostumes/199_moms_key_body1.png")</f>
        <v/>
      </c>
    </row>
    <row r="347" ht="37.5" customHeight="1">
      <c r="A347" s="4" t="s">
        <v>252</v>
      </c>
      <c r="B347" s="4">
        <v>200.0</v>
      </c>
      <c r="C347" s="4" t="s">
        <v>20</v>
      </c>
      <c r="D347" s="4">
        <v>0.0</v>
      </c>
      <c r="E347" s="4" t="s">
        <v>28</v>
      </c>
      <c r="F347" s="4" t="str">
        <f>IMAGE("https://mcgrathscove.ca/connor/isaaccostumes/200_momseyeshadow_head1.png")</f>
        <v/>
      </c>
    </row>
    <row r="348" ht="37.5" customHeight="1">
      <c r="A348" s="2" t="s">
        <v>253</v>
      </c>
      <c r="B348" s="2">
        <v>201.0</v>
      </c>
      <c r="C348" s="2" t="s">
        <v>20</v>
      </c>
      <c r="D348" s="2">
        <v>0.0</v>
      </c>
      <c r="E348" s="2" t="s">
        <v>41</v>
      </c>
      <c r="F348" s="2" t="str">
        <f>IMAGE("https://mcgrathscove.ca/connor/isaaccostumes/201_ironbar_head2.png")</f>
        <v/>
      </c>
    </row>
    <row r="349" ht="37.5" customHeight="1">
      <c r="A349" s="4" t="s">
        <v>254</v>
      </c>
      <c r="B349" s="4">
        <v>202.0</v>
      </c>
      <c r="C349" s="4" t="s">
        <v>20</v>
      </c>
      <c r="D349" s="4">
        <v>0.0</v>
      </c>
      <c r="E349" s="4" t="s">
        <v>8</v>
      </c>
      <c r="F349" s="4" t="str">
        <f>IMAGE("https://mcgrathscove.ca/connor/isaaccostumes/202_midastouch_body.png")</f>
        <v/>
      </c>
    </row>
    <row r="350" ht="37.5" customHeight="1">
      <c r="A350" s="2" t="s">
        <v>255</v>
      </c>
      <c r="B350" s="2">
        <v>203.0</v>
      </c>
      <c r="C350" s="2" t="s">
        <v>20</v>
      </c>
      <c r="D350" s="2">
        <v>0.0</v>
      </c>
      <c r="E350" s="2" t="s">
        <v>33</v>
      </c>
      <c r="F350" s="2" t="str">
        <f>IMAGE("https://mcgrathscove.ca/connor/isaaccostumes/203_humblingbundle_head.png")</f>
        <v/>
      </c>
    </row>
    <row r="351" ht="37.5" customHeight="1">
      <c r="A351" s="4" t="s">
        <v>256</v>
      </c>
      <c r="B351" s="4">
        <v>204.0</v>
      </c>
      <c r="C351" s="4" t="s">
        <v>20</v>
      </c>
      <c r="D351" s="4">
        <v>0.0</v>
      </c>
      <c r="E351" s="4" t="s">
        <v>15</v>
      </c>
      <c r="F351" s="4" t="str">
        <f>IMAGE("https://mcgrathscove.ca/connor/isaaccostumes/204_fannypack_body0.png")</f>
        <v/>
      </c>
    </row>
    <row r="352" ht="37.5" customHeight="1">
      <c r="A352" s="2" t="s">
        <v>257</v>
      </c>
      <c r="B352" s="2">
        <v>205.0</v>
      </c>
      <c r="C352" s="2" t="s">
        <v>20</v>
      </c>
      <c r="D352" s="2">
        <v>0.0</v>
      </c>
      <c r="E352" s="2" t="s">
        <v>42</v>
      </c>
      <c r="F352" s="2" t="str">
        <f>IMAGE("https://mcgrathscove.ca/connor/isaaccostumes/205_sharpplug_head4.png")</f>
        <v/>
      </c>
    </row>
    <row r="353" ht="37.5" customHeight="1">
      <c r="A353" s="4" t="s">
        <v>258</v>
      </c>
      <c r="B353" s="4">
        <v>208.0</v>
      </c>
      <c r="C353" s="4" t="s">
        <v>20</v>
      </c>
      <c r="D353" s="4">
        <v>0.0</v>
      </c>
      <c r="E353" s="4" t="s">
        <v>15</v>
      </c>
      <c r="F353" s="4" t="str">
        <f>IMAGE("https://mcgrathscove.ca/connor/isaaccostumes/208_championbelt_body0.png")</f>
        <v/>
      </c>
    </row>
    <row r="354" ht="37.5" customHeight="1">
      <c r="A354" s="2" t="s">
        <v>259</v>
      </c>
      <c r="B354" s="2">
        <v>209.0</v>
      </c>
      <c r="C354" s="2" t="s">
        <v>20</v>
      </c>
      <c r="D354" s="2">
        <v>0.0</v>
      </c>
      <c r="E354" s="2" t="s">
        <v>15</v>
      </c>
      <c r="F354" s="2" t="str">
        <f>IMAGE("https://mcgrathscove.ca/connor/isaaccostumes/209_buttbombs_body0.png")</f>
        <v/>
      </c>
    </row>
    <row r="355" ht="37.5" customHeight="1">
      <c r="A355" s="4" t="s">
        <v>260</v>
      </c>
      <c r="B355" s="4">
        <v>210.0</v>
      </c>
      <c r="C355" s="4" t="s">
        <v>20</v>
      </c>
      <c r="D355" s="4">
        <v>1.0</v>
      </c>
      <c r="E355" s="4" t="s">
        <v>15</v>
      </c>
      <c r="F355" s="4" t="str">
        <f>IMAGE("https://mcgrathscove.ca/connor/isaaccostumes/210_gnawedleaf_body0.png")</f>
        <v/>
      </c>
    </row>
    <row r="356" ht="37.5" customHeight="1">
      <c r="A356" s="2" t="s">
        <v>261</v>
      </c>
      <c r="B356" s="2">
        <v>211.0</v>
      </c>
      <c r="C356" s="2" t="s">
        <v>20</v>
      </c>
      <c r="D356" s="2">
        <v>0.0</v>
      </c>
      <c r="E356" s="2" t="s">
        <v>25</v>
      </c>
      <c r="F356" s="2" t="str">
        <f>IMAGE("https://mcgrathscove.ca/connor/isaaccostumes/211_spiderbaby_head3.png")</f>
        <v/>
      </c>
    </row>
    <row r="357" ht="37.5" customHeight="1">
      <c r="A357" s="4" t="s">
        <v>262</v>
      </c>
      <c r="B357" s="4">
        <v>212.0</v>
      </c>
      <c r="C357" s="4" t="s">
        <v>20</v>
      </c>
      <c r="D357" s="4">
        <v>0.0</v>
      </c>
      <c r="E357" s="4" t="s">
        <v>41</v>
      </c>
      <c r="F357" s="4" t="str">
        <f>IMAGE("https://mcgrathscove.ca/connor/isaaccostumes/212_guppyscollar_head2.png")</f>
        <v/>
      </c>
    </row>
    <row r="358" ht="37.5" customHeight="1">
      <c r="A358" s="2" t="s">
        <v>263</v>
      </c>
      <c r="B358" s="2">
        <v>213.0</v>
      </c>
      <c r="C358" s="2" t="s">
        <v>20</v>
      </c>
      <c r="D358" s="2">
        <v>0.0</v>
      </c>
      <c r="E358" s="2" t="s">
        <v>41</v>
      </c>
      <c r="F358" s="2" t="str">
        <f>IMAGE("https://mcgrathscove.ca/connor/isaaccostumes/213_lostcontact_head2.png")</f>
        <v/>
      </c>
    </row>
    <row r="359" ht="37.5" customHeight="1">
      <c r="A359" s="4" t="s">
        <v>264</v>
      </c>
      <c r="B359" s="4">
        <v>214.0</v>
      </c>
      <c r="C359" s="4" t="s">
        <v>20</v>
      </c>
      <c r="D359" s="4">
        <v>0.0</v>
      </c>
      <c r="E359" s="4" t="s">
        <v>41</v>
      </c>
      <c r="F359" s="4" t="str">
        <f>IMAGE("https://mcgrathscove.ca/connor/isaaccostumes/214_anemic_head2.png")</f>
        <v/>
      </c>
    </row>
    <row r="360" ht="37.5" customHeight="1">
      <c r="A360" s="2" t="s">
        <v>265</v>
      </c>
      <c r="B360" s="2">
        <v>215.0</v>
      </c>
      <c r="C360" s="2" t="s">
        <v>20</v>
      </c>
      <c r="D360" s="2">
        <v>0.0</v>
      </c>
      <c r="E360" s="2" t="s">
        <v>42</v>
      </c>
      <c r="F360" s="2" t="str">
        <f>IMAGE("https://mcgrathscove.ca/connor/isaaccostumes/215_goathead_head4.png")</f>
        <v/>
      </c>
    </row>
    <row r="361" ht="37.5" customHeight="1">
      <c r="A361" s="4" t="s">
        <v>266</v>
      </c>
      <c r="B361" s="4">
        <v>216.0</v>
      </c>
      <c r="C361" s="4" t="s">
        <v>20</v>
      </c>
      <c r="D361" s="4">
        <v>0.0</v>
      </c>
      <c r="E361" s="4" t="s">
        <v>15</v>
      </c>
      <c r="F361" s="4" t="str">
        <f>IMAGE("https://mcgrathscove.ca/connor/isaaccostumes/216_ceremonialrobes_body0.png")</f>
        <v/>
      </c>
    </row>
    <row r="362" ht="37.5" customHeight="1">
      <c r="A362" s="2" t="s">
        <v>266</v>
      </c>
      <c r="B362" s="2">
        <v>216.0</v>
      </c>
      <c r="C362" s="2" t="s">
        <v>20</v>
      </c>
      <c r="D362" s="2">
        <v>0.0</v>
      </c>
      <c r="E362" s="2" t="s">
        <v>42</v>
      </c>
      <c r="F362" s="2" t="str">
        <f>IMAGE("https://mcgrathscove.ca/connor/isaaccostumes/216_ceremonialrobes_head4.png")</f>
        <v/>
      </c>
    </row>
    <row r="363" ht="37.5" customHeight="1">
      <c r="A363" s="4" t="s">
        <v>267</v>
      </c>
      <c r="B363" s="4">
        <v>217.0</v>
      </c>
      <c r="C363" s="4" t="s">
        <v>20</v>
      </c>
      <c r="D363" s="4">
        <v>0.0</v>
      </c>
      <c r="E363" s="4" t="s">
        <v>42</v>
      </c>
      <c r="F363" s="4" t="str">
        <f>IMAGE("https://mcgrathscove.ca/connor/isaaccostumes/217_momswig_head4.png")</f>
        <v/>
      </c>
    </row>
    <row r="364" ht="37.5" customHeight="1">
      <c r="A364" s="2" t="s">
        <v>268</v>
      </c>
      <c r="B364" s="2">
        <v>218.0</v>
      </c>
      <c r="C364" s="2" t="s">
        <v>20</v>
      </c>
      <c r="D364" s="2">
        <v>0.0</v>
      </c>
      <c r="E364" s="2" t="s">
        <v>28</v>
      </c>
      <c r="F364" s="2" t="str">
        <f>IMAGE("https://mcgrathscove.ca/connor/isaaccostumes/218_placenta_head1.png")</f>
        <v/>
      </c>
    </row>
    <row r="365" ht="37.5" customHeight="1">
      <c r="A365" s="4" t="s">
        <v>269</v>
      </c>
      <c r="B365" s="4">
        <v>219.0</v>
      </c>
      <c r="C365" s="4" t="s">
        <v>20</v>
      </c>
      <c r="D365" s="4">
        <v>0.0</v>
      </c>
      <c r="E365" s="4" t="s">
        <v>25</v>
      </c>
      <c r="F365" s="4" t="str">
        <f>IMAGE("https://mcgrathscove.ca/connor/isaaccostumes/219_oldbandage_head3.png")</f>
        <v/>
      </c>
    </row>
    <row r="366" ht="37.5" customHeight="1">
      <c r="A366" s="2" t="s">
        <v>270</v>
      </c>
      <c r="B366" s="2">
        <v>221.0</v>
      </c>
      <c r="C366" s="2" t="s">
        <v>20</v>
      </c>
      <c r="D366" s="2">
        <v>0.0</v>
      </c>
      <c r="E366" s="2" t="s">
        <v>41</v>
      </c>
      <c r="F366" s="2" t="str">
        <f>IMAGE("https://mcgrathscove.ca/connor/isaaccostumes/221_rubbercement_head2.png")</f>
        <v/>
      </c>
    </row>
    <row r="367" ht="37.5" customHeight="1">
      <c r="A367" s="4" t="s">
        <v>271</v>
      </c>
      <c r="B367" s="4">
        <v>222.0</v>
      </c>
      <c r="C367" s="4" t="s">
        <v>20</v>
      </c>
      <c r="D367" s="4">
        <v>0.0</v>
      </c>
      <c r="E367" s="4" t="s">
        <v>33</v>
      </c>
      <c r="F367" s="4" t="str">
        <f>IMAGE("https://mcgrathscove.ca/connor/isaaccostumes/222_antigravity_head.png")</f>
        <v/>
      </c>
    </row>
    <row r="368" ht="37.5" customHeight="1">
      <c r="A368" s="2" t="s">
        <v>271</v>
      </c>
      <c r="B368" s="2">
        <v>222.0</v>
      </c>
      <c r="C368" s="2" t="s">
        <v>20</v>
      </c>
      <c r="D368" s="2">
        <v>0.0</v>
      </c>
      <c r="E368" s="2" t="s">
        <v>8</v>
      </c>
      <c r="F368" s="2" t="str">
        <f>IMAGE("https://mcgrathscove.ca/connor/isaaccostumes/222_antigravity_body.png")</f>
        <v/>
      </c>
    </row>
    <row r="369" ht="37.5" customHeight="1">
      <c r="A369" s="4" t="s">
        <v>272</v>
      </c>
      <c r="B369" s="4">
        <v>223.0</v>
      </c>
      <c r="C369" s="4" t="s">
        <v>20</v>
      </c>
      <c r="D369" s="4">
        <v>0.0</v>
      </c>
      <c r="E369" s="4" t="s">
        <v>33</v>
      </c>
      <c r="F369" s="4" t="str">
        <f>IMAGE("https://mcgrathscove.ca/connor/isaaccostumes/223_pyromaniac_head.png")</f>
        <v/>
      </c>
    </row>
    <row r="370" ht="37.5" customHeight="1">
      <c r="A370" s="2" t="s">
        <v>273</v>
      </c>
      <c r="B370" s="2">
        <v>224.0</v>
      </c>
      <c r="C370" s="2" t="s">
        <v>20</v>
      </c>
      <c r="D370" s="2">
        <v>0.0</v>
      </c>
      <c r="E370" s="2" t="s">
        <v>28</v>
      </c>
      <c r="F370" s="2" t="str">
        <f>IMAGE("https://mcgrathscove.ca/connor/isaaccostumes/224_crickets_body_head1.png")</f>
        <v/>
      </c>
    </row>
    <row r="371" ht="37.5" customHeight="1">
      <c r="A371" s="4" t="s">
        <v>274</v>
      </c>
      <c r="B371" s="4">
        <v>225.0</v>
      </c>
      <c r="C371" s="4" t="s">
        <v>20</v>
      </c>
      <c r="D371" s="4">
        <v>0.0</v>
      </c>
      <c r="E371" s="4" t="s">
        <v>41</v>
      </c>
      <c r="F371" s="4" t="str">
        <f>IMAGE("https://mcgrathscove.ca/connor/isaaccostumes/225_gimpy_head2.png")</f>
        <v/>
      </c>
    </row>
    <row r="372" ht="37.5" customHeight="1">
      <c r="A372" s="2" t="s">
        <v>275</v>
      </c>
      <c r="B372" s="2">
        <v>226.0</v>
      </c>
      <c r="C372" s="2" t="s">
        <v>20</v>
      </c>
      <c r="D372" s="2">
        <v>0.0</v>
      </c>
      <c r="E372" s="2" t="s">
        <v>25</v>
      </c>
      <c r="F372" s="2" t="str">
        <f>IMAGE("https://mcgrathscove.ca/connor/isaaccostumes/226_blacklotus_head3.png")</f>
        <v/>
      </c>
    </row>
    <row r="373" ht="37.5" customHeight="1">
      <c r="A373" s="4" t="s">
        <v>276</v>
      </c>
      <c r="B373" s="4">
        <v>227.0</v>
      </c>
      <c r="C373" s="4" t="s">
        <v>20</v>
      </c>
      <c r="D373" s="4">
        <v>0.0</v>
      </c>
      <c r="E373" s="4" t="s">
        <v>8</v>
      </c>
      <c r="F373" s="4" t="str">
        <f>IMAGE("https://mcgrathscove.ca/connor/isaaccostumes/227_piggybank_body.png")</f>
        <v/>
      </c>
    </row>
    <row r="374" ht="37.5" customHeight="1">
      <c r="A374" s="2" t="s">
        <v>277</v>
      </c>
      <c r="B374" s="2">
        <v>228.0</v>
      </c>
      <c r="C374" s="2" t="s">
        <v>20</v>
      </c>
      <c r="D374" s="2">
        <v>0.0</v>
      </c>
      <c r="E374" s="2" t="s">
        <v>41</v>
      </c>
      <c r="F374" s="2" t="str">
        <f>IMAGE("https://mcgrathscove.ca/connor/isaaccostumes/228_moms_perfume_head2.png")</f>
        <v/>
      </c>
    </row>
    <row r="375" ht="37.5" customHeight="1">
      <c r="A375" s="4" t="s">
        <v>278</v>
      </c>
      <c r="B375" s="4">
        <v>229.0</v>
      </c>
      <c r="C375" s="4" t="s">
        <v>20</v>
      </c>
      <c r="D375" s="4">
        <v>22.0</v>
      </c>
      <c r="E375" s="4" t="s">
        <v>33</v>
      </c>
      <c r="F375" s="4" t="str">
        <f>IMAGE("https://mcgrathscove.ca/connor/isaaccostumes/229_monstros_lung_head.png")</f>
        <v/>
      </c>
    </row>
    <row r="376" ht="37.5" customHeight="1">
      <c r="A376" s="2" t="s">
        <v>279</v>
      </c>
      <c r="B376" s="2">
        <v>230.0</v>
      </c>
      <c r="C376" s="2" t="s">
        <v>20</v>
      </c>
      <c r="D376" s="2">
        <v>0.0</v>
      </c>
      <c r="E376" s="2" t="s">
        <v>8</v>
      </c>
      <c r="F376" s="2" t="str">
        <f>IMAGE("https://mcgrathscove.ca/connor/isaaccostumes/230_abaddon_body.png")</f>
        <v/>
      </c>
    </row>
    <row r="377" ht="37.5" customHeight="1">
      <c r="A377" s="4" t="s">
        <v>279</v>
      </c>
      <c r="B377" s="4">
        <v>230.0</v>
      </c>
      <c r="C377" s="4" t="s">
        <v>20</v>
      </c>
      <c r="D377" s="4">
        <v>0.0</v>
      </c>
      <c r="E377" s="4" t="s">
        <v>33</v>
      </c>
      <c r="F377" s="4" t="str">
        <f>IMAGE("https://mcgrathscove.ca/connor/isaaccostumes/230_abaddon_head.png")</f>
        <v/>
      </c>
    </row>
    <row r="378" ht="37.5" customHeight="1">
      <c r="A378" s="2" t="s">
        <v>280</v>
      </c>
      <c r="B378" s="2">
        <v>231.0</v>
      </c>
      <c r="C378" s="2" t="s">
        <v>20</v>
      </c>
      <c r="D378" s="2">
        <v>0.0</v>
      </c>
      <c r="E378" s="2" t="s">
        <v>8</v>
      </c>
      <c r="F378" s="2" t="str">
        <f>IMAGE("https://mcgrathscove.ca/connor/isaaccostumes/231_balloftar_body.png")</f>
        <v/>
      </c>
    </row>
    <row r="379" ht="37.5" customHeight="1">
      <c r="A379" s="4" t="s">
        <v>280</v>
      </c>
      <c r="B379" s="4">
        <v>231.0</v>
      </c>
      <c r="C379" s="4" t="s">
        <v>20</v>
      </c>
      <c r="D379" s="4">
        <v>0.0</v>
      </c>
      <c r="E379" s="4" t="s">
        <v>33</v>
      </c>
      <c r="F379" s="4" t="str">
        <f>IMAGE("https://mcgrathscove.ca/connor/isaaccostumes/231_balloftar_head.png")</f>
        <v/>
      </c>
    </row>
    <row r="380" ht="37.5" customHeight="1">
      <c r="A380" s="2" t="s">
        <v>281</v>
      </c>
      <c r="B380" s="2">
        <v>232.0</v>
      </c>
      <c r="C380" s="2" t="s">
        <v>20</v>
      </c>
      <c r="D380" s="2">
        <v>0.0</v>
      </c>
      <c r="E380" s="2" t="s">
        <v>15</v>
      </c>
      <c r="F380" s="2" t="str">
        <f>IMAGE("https://mcgrathscove.ca/connor/isaaccostumes/232_stopwatch_body0.png")</f>
        <v/>
      </c>
    </row>
    <row r="381" ht="37.5" customHeight="1">
      <c r="A381" s="4" t="s">
        <v>282</v>
      </c>
      <c r="B381" s="4">
        <v>233.0</v>
      </c>
      <c r="C381" s="4" t="s">
        <v>20</v>
      </c>
      <c r="D381" s="4">
        <v>0.0</v>
      </c>
      <c r="E381" s="4" t="s">
        <v>25</v>
      </c>
      <c r="F381" s="4" t="str">
        <f>IMAGE("https://mcgrathscove.ca/connor/isaaccostumes/233_tiny_planet_head3.png")</f>
        <v/>
      </c>
    </row>
    <row r="382" ht="37.5" customHeight="1">
      <c r="A382" s="2" t="s">
        <v>283</v>
      </c>
      <c r="B382" s="2">
        <v>234.0</v>
      </c>
      <c r="C382" s="2" t="s">
        <v>20</v>
      </c>
      <c r="D382" s="2">
        <v>0.0</v>
      </c>
      <c r="E382" s="2" t="s">
        <v>33</v>
      </c>
      <c r="F382" s="2" t="str">
        <f>IMAGE("https://mcgrathscove.ca/connor/isaaccostumes/234_infestation2_head.png")</f>
        <v/>
      </c>
    </row>
    <row r="383" ht="37.5" customHeight="1">
      <c r="A383" s="4" t="s">
        <v>284</v>
      </c>
      <c r="B383" s="4">
        <v>236.0</v>
      </c>
      <c r="C383" s="4" t="s">
        <v>20</v>
      </c>
      <c r="D383" s="4">
        <v>0.0</v>
      </c>
      <c r="E383" s="4" t="s">
        <v>28</v>
      </c>
      <c r="F383" s="4" t="str">
        <f>IMAGE("https://mcgrathscove.ca/connor/isaaccostumes/236_ecoli_head1.png")</f>
        <v/>
      </c>
    </row>
    <row r="384" ht="37.5" customHeight="1">
      <c r="A384" s="2" t="s">
        <v>285</v>
      </c>
      <c r="B384" s="2">
        <v>237.0</v>
      </c>
      <c r="C384" s="2" t="s">
        <v>20</v>
      </c>
      <c r="D384" s="2">
        <v>0.0</v>
      </c>
      <c r="E384" s="2" t="s">
        <v>33</v>
      </c>
      <c r="F384" s="2" t="str">
        <f>IMAGE("https://mcgrathscove.ca/connor/isaaccostumes/237_deathstouch_head.png")</f>
        <v/>
      </c>
    </row>
    <row r="385" ht="37.5" customHeight="1">
      <c r="A385" s="4" t="s">
        <v>286</v>
      </c>
      <c r="B385" s="4">
        <v>240.0</v>
      </c>
      <c r="C385" s="4" t="s">
        <v>20</v>
      </c>
      <c r="D385" s="4">
        <v>0.0</v>
      </c>
      <c r="E385" s="4" t="s">
        <v>33</v>
      </c>
      <c r="F385" s="4" t="str">
        <f>IMAGE("https://mcgrathscove.ca/connor/isaaccostumes/240_experimentaltreatment_head.png")</f>
        <v/>
      </c>
    </row>
    <row r="386" ht="37.5" customHeight="1">
      <c r="A386" s="2" t="s">
        <v>287</v>
      </c>
      <c r="B386" s="2">
        <v>241.0</v>
      </c>
      <c r="C386" s="2" t="s">
        <v>20</v>
      </c>
      <c r="D386" s="2">
        <v>0.0</v>
      </c>
      <c r="E386" s="2" t="s">
        <v>41</v>
      </c>
      <c r="F386" s="2" t="str">
        <f>IMAGE("https://mcgrathscove.ca/connor/isaaccostumes/241_contractfrombelow_head2.png")</f>
        <v/>
      </c>
    </row>
    <row r="387" ht="37.5" customHeight="1">
      <c r="A387" s="4" t="s">
        <v>288</v>
      </c>
      <c r="B387" s="4">
        <v>242.0</v>
      </c>
      <c r="C387" s="4" t="s">
        <v>20</v>
      </c>
      <c r="D387" s="4">
        <v>0.0</v>
      </c>
      <c r="E387" s="4" t="s">
        <v>25</v>
      </c>
      <c r="F387" s="4" t="str">
        <f>IMAGE("https://mcgrathscove.ca/connor/isaaccostumes/242_infamy_head3.png")</f>
        <v/>
      </c>
    </row>
    <row r="388" ht="37.5" customHeight="1">
      <c r="A388" s="2" t="s">
        <v>289</v>
      </c>
      <c r="B388" s="2">
        <v>244.0</v>
      </c>
      <c r="C388" s="2" t="s">
        <v>20</v>
      </c>
      <c r="D388" s="2">
        <v>0.0</v>
      </c>
      <c r="E388" s="2" t="s">
        <v>28</v>
      </c>
      <c r="F388" s="2" t="str">
        <f>IMAGE("https://mcgrathscove.ca/connor/isaaccostumes/244_tech05_head1.png")</f>
        <v/>
      </c>
    </row>
    <row r="389" ht="37.5" customHeight="1">
      <c r="A389" s="4" t="s">
        <v>290</v>
      </c>
      <c r="B389" s="4">
        <v>245.0</v>
      </c>
      <c r="C389" s="4" t="s">
        <v>20</v>
      </c>
      <c r="D389" s="4">
        <v>0.0</v>
      </c>
      <c r="E389" s="4" t="s">
        <v>41</v>
      </c>
      <c r="F389" s="4" t="str">
        <f>IMAGE("https://mcgrathscove.ca/connor/isaaccostumes/245_2020_head2.png")</f>
        <v/>
      </c>
    </row>
    <row r="390" ht="37.5" customHeight="1">
      <c r="A390" s="2" t="s">
        <v>291</v>
      </c>
      <c r="B390" s="2">
        <v>247.0</v>
      </c>
      <c r="C390" s="2" t="s">
        <v>20</v>
      </c>
      <c r="D390" s="2">
        <v>0.0</v>
      </c>
      <c r="E390" s="2" t="s">
        <v>28</v>
      </c>
      <c r="F390" s="2" t="str">
        <f>IMAGE("https://mcgrathscove.ca/connor/isaaccostumes/247_bffs_head1.png")</f>
        <v/>
      </c>
    </row>
    <row r="391" ht="37.5" customHeight="1">
      <c r="A391" s="4" t="s">
        <v>292</v>
      </c>
      <c r="B391" s="4">
        <v>248.0</v>
      </c>
      <c r="C391" s="4" t="s">
        <v>20</v>
      </c>
      <c r="D391" s="4">
        <v>0.0</v>
      </c>
      <c r="E391" s="4" t="s">
        <v>15</v>
      </c>
      <c r="F391" s="4" t="str">
        <f>IMAGE("https://mcgrathscove.ca/connor/isaaccostumes/248_hive_mind_body0.png")</f>
        <v/>
      </c>
    </row>
    <row r="392" ht="37.5" customHeight="1">
      <c r="A392" s="2" t="s">
        <v>292</v>
      </c>
      <c r="B392" s="2">
        <v>248.0</v>
      </c>
      <c r="C392" s="2" t="s">
        <v>20</v>
      </c>
      <c r="D392" s="2">
        <v>0.0</v>
      </c>
      <c r="E392" s="2" t="s">
        <v>42</v>
      </c>
      <c r="F392" s="2" t="str">
        <f>IMAGE("https://mcgrathscove.ca/connor/isaaccostumes/248_hive_mind_head4.png")</f>
        <v/>
      </c>
    </row>
    <row r="393" ht="37.5" customHeight="1">
      <c r="A393" s="4" t="s">
        <v>293</v>
      </c>
      <c r="B393" s="4">
        <v>249.0</v>
      </c>
      <c r="C393" s="4" t="s">
        <v>20</v>
      </c>
      <c r="D393" s="4">
        <v>0.0</v>
      </c>
      <c r="E393" s="4" t="s">
        <v>28</v>
      </c>
      <c r="F393" s="4" t="str">
        <f>IMAGE("https://mcgrathscove.ca/connor/isaaccostumes/249_theresoptions_head1.png")</f>
        <v/>
      </c>
    </row>
    <row r="394" ht="37.5" customHeight="1">
      <c r="A394" s="2" t="s">
        <v>294</v>
      </c>
      <c r="B394" s="2">
        <v>250.0</v>
      </c>
      <c r="C394" s="2" t="s">
        <v>20</v>
      </c>
      <c r="D394" s="2">
        <v>0.0</v>
      </c>
      <c r="E394" s="2" t="s">
        <v>8</v>
      </c>
      <c r="F394" s="2" t="str">
        <f>IMAGE("https://mcgrathscove.ca/connor/isaaccostumes/250_bogobombs_body.png")</f>
        <v/>
      </c>
    </row>
    <row r="395" ht="37.5" customHeight="1">
      <c r="A395" s="4" t="s">
        <v>295</v>
      </c>
      <c r="B395" s="4">
        <v>251.0</v>
      </c>
      <c r="C395" s="4" t="s">
        <v>20</v>
      </c>
      <c r="D395" s="4">
        <v>0.0</v>
      </c>
      <c r="E395" s="4" t="s">
        <v>28</v>
      </c>
      <c r="F395" s="4" t="str">
        <f>IMAGE("https://mcgrathscove.ca/connor/isaaccostumes/251_starterdeck_head1.png")</f>
        <v/>
      </c>
    </row>
    <row r="396" ht="37.5" customHeight="1">
      <c r="A396" s="2" t="s">
        <v>296</v>
      </c>
      <c r="B396" s="2">
        <v>252.0</v>
      </c>
      <c r="C396" s="2" t="s">
        <v>20</v>
      </c>
      <c r="D396" s="2">
        <v>0.0</v>
      </c>
      <c r="E396" s="2" t="s">
        <v>25</v>
      </c>
      <c r="F396" s="2" t="str">
        <f>IMAGE("https://mcgrathscove.ca/connor/isaaccostumes/252_littlebaggy_head3.png")</f>
        <v/>
      </c>
    </row>
    <row r="397" ht="37.5" customHeight="1">
      <c r="A397" s="4" t="s">
        <v>297</v>
      </c>
      <c r="B397" s="4">
        <v>253.0</v>
      </c>
      <c r="C397" s="4" t="s">
        <v>20</v>
      </c>
      <c r="D397" s="4">
        <v>0.0</v>
      </c>
      <c r="E397" s="4" t="s">
        <v>41</v>
      </c>
      <c r="F397" s="4" t="str">
        <f>IMAGE("https://mcgrathscove.ca/connor/isaaccostumes/253_magicscab_head2.png")</f>
        <v/>
      </c>
    </row>
    <row r="398" ht="37.5" customHeight="1">
      <c r="A398" s="2" t="s">
        <v>298</v>
      </c>
      <c r="B398" s="2">
        <v>254.0</v>
      </c>
      <c r="C398" s="2" t="s">
        <v>20</v>
      </c>
      <c r="D398" s="2">
        <v>0.0</v>
      </c>
      <c r="E398" s="2" t="s">
        <v>41</v>
      </c>
      <c r="F398" s="2" t="str">
        <f>IMAGE("https://mcgrathscove.ca/connor/isaaccostumes/254_bloodclot_head2.png")</f>
        <v/>
      </c>
    </row>
    <row r="399" ht="37.5" customHeight="1">
      <c r="A399" s="4" t="s">
        <v>299</v>
      </c>
      <c r="B399" s="4">
        <v>255.0</v>
      </c>
      <c r="C399" s="4" t="s">
        <v>20</v>
      </c>
      <c r="D399" s="4">
        <v>0.0</v>
      </c>
      <c r="E399" s="4" t="s">
        <v>15</v>
      </c>
      <c r="F399" s="4" t="str">
        <f>IMAGE("https://mcgrathscove.ca/connor/isaaccostumes/255_screw_body0.png")</f>
        <v/>
      </c>
    </row>
    <row r="400" ht="37.5" customHeight="1">
      <c r="A400" s="2" t="s">
        <v>300</v>
      </c>
      <c r="B400" s="2">
        <v>256.0</v>
      </c>
      <c r="C400" s="2" t="s">
        <v>20</v>
      </c>
      <c r="D400" s="2">
        <v>0.0</v>
      </c>
      <c r="E400" s="2" t="s">
        <v>66</v>
      </c>
      <c r="F400" s="2" t="str">
        <f>IMAGE("https://mcgrathscove.ca/connor/isaaccostumes/256_hotbombs_glow.png")</f>
        <v/>
      </c>
    </row>
    <row r="401" ht="37.5" customHeight="1">
      <c r="A401" s="4" t="s">
        <v>301</v>
      </c>
      <c r="B401" s="4">
        <v>257.0</v>
      </c>
      <c r="C401" s="4" t="s">
        <v>20</v>
      </c>
      <c r="D401" s="4">
        <v>0.0</v>
      </c>
      <c r="E401" s="4" t="s">
        <v>25</v>
      </c>
      <c r="F401" s="4" t="str">
        <f>IMAGE("https://mcgrathscove.ca/connor/isaaccostumes/257_firemind_head3.png")</f>
        <v/>
      </c>
    </row>
    <row r="402" ht="37.5" customHeight="1">
      <c r="A402" s="2" t="s">
        <v>302</v>
      </c>
      <c r="B402" s="2">
        <v>258.0</v>
      </c>
      <c r="C402" s="2" t="s">
        <v>20</v>
      </c>
      <c r="D402" s="2">
        <v>0.0</v>
      </c>
      <c r="E402" s="2" t="s">
        <v>303</v>
      </c>
      <c r="F402" s="2" t="str">
        <f>IMAGE("https://mcgrathscove.ca/connor/isaaccostumes/258_missingno_Main.png")</f>
        <v/>
      </c>
    </row>
    <row r="403" ht="37.5" customHeight="1">
      <c r="A403" s="4" t="s">
        <v>304</v>
      </c>
      <c r="B403" s="4">
        <v>259.0</v>
      </c>
      <c r="C403" s="4" t="s">
        <v>20</v>
      </c>
      <c r="D403" s="4">
        <v>0.0</v>
      </c>
      <c r="E403" s="4" t="s">
        <v>41</v>
      </c>
      <c r="F403" s="4" t="str">
        <f>IMAGE("https://mcgrathscove.ca/connor/isaaccostumes/259_darkmatter_head2.png")</f>
        <v/>
      </c>
    </row>
    <row r="404" ht="37.5" customHeight="1">
      <c r="A404" s="2" t="s">
        <v>305</v>
      </c>
      <c r="B404" s="2">
        <v>260.0</v>
      </c>
      <c r="C404" s="2" t="s">
        <v>20</v>
      </c>
      <c r="D404" s="2">
        <v>0.0</v>
      </c>
      <c r="E404" s="2" t="s">
        <v>25</v>
      </c>
      <c r="F404" s="2" t="str">
        <f>IMAGE("https://mcgrathscove.ca/connor/isaaccostumes/260_blackcandle_head3.png")</f>
        <v/>
      </c>
    </row>
    <row r="405" ht="37.5" customHeight="1">
      <c r="A405" s="4" t="s">
        <v>306</v>
      </c>
      <c r="B405" s="4">
        <v>261.0</v>
      </c>
      <c r="C405" s="4" t="s">
        <v>20</v>
      </c>
      <c r="D405" s="4">
        <v>0.0</v>
      </c>
      <c r="E405" s="4" t="s">
        <v>41</v>
      </c>
      <c r="F405" s="4" t="str">
        <f>IMAGE("https://mcgrathscove.ca/connor/isaaccostumes/261_proptosis_head2.png")</f>
        <v/>
      </c>
    </row>
    <row r="406" ht="37.5" customHeight="1">
      <c r="A406" s="2" t="s">
        <v>307</v>
      </c>
      <c r="B406" s="2">
        <v>262.0</v>
      </c>
      <c r="C406" s="2" t="s">
        <v>20</v>
      </c>
      <c r="D406" s="2">
        <v>0.0</v>
      </c>
      <c r="E406" s="2" t="s">
        <v>15</v>
      </c>
      <c r="F406" s="2" t="str">
        <f>IMAGE("https://mcgrathscove.ca/connor/isaaccostumes/262_missingpage2_body0.png")</f>
        <v/>
      </c>
    </row>
    <row r="407" ht="37.5" customHeight="1">
      <c r="A407" s="4" t="s">
        <v>307</v>
      </c>
      <c r="B407" s="4">
        <v>262.0</v>
      </c>
      <c r="C407" s="4" t="s">
        <v>20</v>
      </c>
      <c r="D407" s="4">
        <v>0.0</v>
      </c>
      <c r="E407" s="4" t="s">
        <v>66</v>
      </c>
      <c r="F407" s="4" t="str">
        <f>IMAGE("https://mcgrathscove.ca/connor/isaaccostumes/262_missingpage2_glow.png")</f>
        <v/>
      </c>
    </row>
    <row r="408" ht="37.5" customHeight="1">
      <c r="A408" s="2" t="s">
        <v>308</v>
      </c>
      <c r="B408" s="2">
        <v>267.0</v>
      </c>
      <c r="C408" s="2" t="s">
        <v>224</v>
      </c>
      <c r="D408" s="2">
        <v>0.0</v>
      </c>
      <c r="E408" s="2" t="s">
        <v>41</v>
      </c>
      <c r="F408" s="2" t="str">
        <f>IMAGE("https://mcgrathscove.ca/connor/isaaccostumes/267_robobaby20_head2.png")</f>
        <v/>
      </c>
    </row>
    <row r="409" ht="37.5" customHeight="1">
      <c r="A409" s="4" t="s">
        <v>309</v>
      </c>
      <c r="B409" s="4">
        <v>299.0</v>
      </c>
      <c r="C409" s="4" t="s">
        <v>20</v>
      </c>
      <c r="D409" s="4">
        <v>0.0</v>
      </c>
      <c r="E409" s="4" t="s">
        <v>33</v>
      </c>
      <c r="F409" s="4" t="str">
        <f>IMAGE("https://mcgrathscove.ca/connor/isaaccostumes/299_taurus_head.png")</f>
        <v/>
      </c>
    </row>
    <row r="410" ht="37.5" customHeight="1">
      <c r="A410" s="2" t="s">
        <v>310</v>
      </c>
      <c r="B410" s="2">
        <v>300.0</v>
      </c>
      <c r="C410" s="2" t="s">
        <v>20</v>
      </c>
      <c r="D410" s="2">
        <v>0.0</v>
      </c>
      <c r="E410" s="2" t="s">
        <v>42</v>
      </c>
      <c r="F410" s="2" t="str">
        <f>IMAGE("https://mcgrathscove.ca/connor/isaaccostumes/300_aries_head4.png")</f>
        <v/>
      </c>
    </row>
    <row r="411" ht="37.5" customHeight="1">
      <c r="A411" s="4" t="s">
        <v>311</v>
      </c>
      <c r="B411" s="4">
        <v>301.0</v>
      </c>
      <c r="C411" s="4" t="s">
        <v>20</v>
      </c>
      <c r="D411" s="4">
        <v>0.0</v>
      </c>
      <c r="E411" s="4" t="s">
        <v>8</v>
      </c>
      <c r="F411" s="4" t="str">
        <f>IMAGE("https://mcgrathscove.ca/connor/isaaccostumes/301_cancer_body.png")</f>
        <v/>
      </c>
    </row>
    <row r="412" ht="37.5" customHeight="1">
      <c r="A412" s="2" t="s">
        <v>312</v>
      </c>
      <c r="B412" s="2">
        <v>302.0</v>
      </c>
      <c r="C412" s="2" t="s">
        <v>20</v>
      </c>
      <c r="D412" s="2">
        <v>0.0</v>
      </c>
      <c r="E412" s="2" t="s">
        <v>42</v>
      </c>
      <c r="F412" s="2" t="str">
        <f>IMAGE("https://mcgrathscove.ca/connor/isaaccostumes/302_leo_head4.png")</f>
        <v/>
      </c>
    </row>
    <row r="413" ht="37.5" customHeight="1">
      <c r="A413" s="4" t="s">
        <v>313</v>
      </c>
      <c r="B413" s="4">
        <v>303.0</v>
      </c>
      <c r="C413" s="4" t="s">
        <v>20</v>
      </c>
      <c r="D413" s="4">
        <v>0.0</v>
      </c>
      <c r="E413" s="4" t="s">
        <v>42</v>
      </c>
      <c r="F413" s="4" t="str">
        <f>IMAGE("https://mcgrathscove.ca/connor/isaaccostumes/303_virgo_head4.png")</f>
        <v/>
      </c>
    </row>
    <row r="414" ht="37.5" customHeight="1">
      <c r="A414" s="2" t="s">
        <v>314</v>
      </c>
      <c r="B414" s="2">
        <v>304.0</v>
      </c>
      <c r="C414" s="2" t="s">
        <v>20</v>
      </c>
      <c r="D414" s="2">
        <v>0.0</v>
      </c>
      <c r="E414" s="2" t="s">
        <v>8</v>
      </c>
      <c r="F414" s="2" t="str">
        <f>IMAGE("https://mcgrathscove.ca/connor/isaaccostumes/304_libra_body.png")</f>
        <v/>
      </c>
    </row>
    <row r="415" ht="37.5" customHeight="1">
      <c r="A415" s="4" t="s">
        <v>314</v>
      </c>
      <c r="B415" s="4">
        <v>304.0</v>
      </c>
      <c r="C415" s="4" t="s">
        <v>20</v>
      </c>
      <c r="D415" s="4">
        <v>0.0</v>
      </c>
      <c r="E415" s="4" t="s">
        <v>33</v>
      </c>
      <c r="F415" s="4" t="str">
        <f>IMAGE("https://mcgrathscove.ca/connor/isaaccostumes/304_libra_head.png")</f>
        <v/>
      </c>
    </row>
    <row r="416" ht="37.5" customHeight="1">
      <c r="A416" s="2" t="s">
        <v>315</v>
      </c>
      <c r="B416" s="2">
        <v>305.0</v>
      </c>
      <c r="C416" s="2" t="s">
        <v>20</v>
      </c>
      <c r="D416" s="2">
        <v>0.0</v>
      </c>
      <c r="E416" s="2" t="s">
        <v>33</v>
      </c>
      <c r="F416" s="2" t="str">
        <f>IMAGE("https://mcgrathscove.ca/connor/isaaccostumes/305_scorpio_head.png")</f>
        <v/>
      </c>
    </row>
    <row r="417" ht="37.5" customHeight="1">
      <c r="A417" s="4" t="s">
        <v>316</v>
      </c>
      <c r="B417" s="4">
        <v>306.0</v>
      </c>
      <c r="C417" s="4" t="s">
        <v>20</v>
      </c>
      <c r="D417" s="4">
        <v>0.0</v>
      </c>
      <c r="E417" s="4" t="s">
        <v>8</v>
      </c>
      <c r="F417" s="4" t="str">
        <f>IMAGE("https://mcgrathscove.ca/connor/isaaccostumes/306_sagittarius_body.png")</f>
        <v/>
      </c>
    </row>
    <row r="418" ht="37.5" customHeight="1">
      <c r="A418" s="2" t="s">
        <v>317</v>
      </c>
      <c r="B418" s="2">
        <v>307.0</v>
      </c>
      <c r="C418" s="2" t="s">
        <v>20</v>
      </c>
      <c r="D418" s="2">
        <v>0.0</v>
      </c>
      <c r="E418" s="2" t="s">
        <v>33</v>
      </c>
      <c r="F418" s="2" t="str">
        <f>IMAGE("https://mcgrathscove.ca/connor/isaaccostumes/307_capricorn_head.png")</f>
        <v/>
      </c>
    </row>
    <row r="419" ht="37.5" customHeight="1">
      <c r="A419" s="4" t="s">
        <v>318</v>
      </c>
      <c r="B419" s="4">
        <v>308.0</v>
      </c>
      <c r="C419" s="4" t="s">
        <v>20</v>
      </c>
      <c r="D419" s="4">
        <v>0.0</v>
      </c>
      <c r="E419" s="4" t="s">
        <v>15</v>
      </c>
      <c r="F419" s="4" t="str">
        <f>IMAGE("https://mcgrathscove.ca/connor/isaaccostumes/308_aquarius_body0.png")</f>
        <v/>
      </c>
    </row>
    <row r="420" ht="37.5" customHeight="1">
      <c r="A420" s="2" t="s">
        <v>319</v>
      </c>
      <c r="B420" s="2">
        <v>309.0</v>
      </c>
      <c r="C420" s="2" t="s">
        <v>20</v>
      </c>
      <c r="D420" s="2">
        <v>0.0</v>
      </c>
      <c r="E420" s="2" t="s">
        <v>8</v>
      </c>
      <c r="F420" s="2" t="str">
        <f>IMAGE("https://mcgrathscove.ca/connor/isaaccostumes/309_pisces_body.png")</f>
        <v/>
      </c>
    </row>
    <row r="421" ht="37.5" customHeight="1">
      <c r="A421" s="4" t="s">
        <v>319</v>
      </c>
      <c r="B421" s="4">
        <v>309.0</v>
      </c>
      <c r="C421" s="4" t="s">
        <v>20</v>
      </c>
      <c r="D421" s="4">
        <v>0.0</v>
      </c>
      <c r="E421" s="4" t="s">
        <v>28</v>
      </c>
      <c r="F421" s="4" t="str">
        <f>IMAGE("https://mcgrathscove.ca/connor/isaaccostumes/309_pisces_head1.png")</f>
        <v/>
      </c>
    </row>
    <row r="422" ht="37.5" customHeight="1">
      <c r="A422" s="2" t="s">
        <v>320</v>
      </c>
      <c r="B422" s="2">
        <v>310.0</v>
      </c>
      <c r="C422" s="2" t="s">
        <v>20</v>
      </c>
      <c r="D422" s="2">
        <v>0.0</v>
      </c>
      <c r="E422" s="2" t="s">
        <v>41</v>
      </c>
      <c r="F422" s="2" t="str">
        <f>IMAGE("https://mcgrathscove.ca/connor/isaaccostumes/310_evesmascara_head2.png")</f>
        <v/>
      </c>
    </row>
    <row r="423" ht="37.5" customHeight="1">
      <c r="A423" s="4" t="s">
        <v>321</v>
      </c>
      <c r="B423" s="4">
        <v>311.0</v>
      </c>
      <c r="C423" s="4" t="s">
        <v>20</v>
      </c>
      <c r="D423" s="4">
        <v>0.0</v>
      </c>
      <c r="E423" s="4" t="s">
        <v>8</v>
      </c>
      <c r="F423" s="4" t="str">
        <f>IMAGE("https://mcgrathscove.ca/connor/isaaccostumes/311_judasshadow_body.png")</f>
        <v/>
      </c>
    </row>
    <row r="424" ht="37.5" customHeight="1">
      <c r="A424" s="2" t="s">
        <v>321</v>
      </c>
      <c r="B424" s="2">
        <v>311.0</v>
      </c>
      <c r="C424" s="2" t="s">
        <v>20</v>
      </c>
      <c r="D424" s="2">
        <v>0.0</v>
      </c>
      <c r="E424" s="2" t="s">
        <v>33</v>
      </c>
      <c r="F424" s="2" t="str">
        <f>IMAGE("https://mcgrathscove.ca/connor/isaaccostumes/311_judasshadow_head.png")</f>
        <v/>
      </c>
    </row>
    <row r="425" ht="37.5" customHeight="1">
      <c r="A425" s="4" t="s">
        <v>322</v>
      </c>
      <c r="B425" s="4">
        <v>312.0</v>
      </c>
      <c r="C425" s="4" t="s">
        <v>20</v>
      </c>
      <c r="D425" s="4">
        <v>0.0</v>
      </c>
      <c r="E425" s="4" t="s">
        <v>25</v>
      </c>
      <c r="F425" s="4" t="str">
        <f>IMAGE("https://mcgrathscove.ca/connor/isaaccostumes/312_maggysbow_head3.png")</f>
        <v/>
      </c>
    </row>
    <row r="426" ht="37.5" customHeight="1">
      <c r="A426" s="2" t="s">
        <v>323</v>
      </c>
      <c r="B426" s="2">
        <v>313.0</v>
      </c>
      <c r="C426" s="2" t="s">
        <v>20</v>
      </c>
      <c r="D426" s="2">
        <v>0.0</v>
      </c>
      <c r="E426" s="2" t="s">
        <v>44</v>
      </c>
      <c r="F426" s="2" t="str">
        <f>IMAGE("https://mcgrathscove.ca/connor/isaaccostumes/313_holymantle_body1.png")</f>
        <v/>
      </c>
    </row>
    <row r="427" ht="37.5" customHeight="1">
      <c r="A427" s="4" t="s">
        <v>323</v>
      </c>
      <c r="B427" s="4">
        <v>313.0</v>
      </c>
      <c r="C427" s="4" t="s">
        <v>20</v>
      </c>
      <c r="D427" s="4">
        <v>0.0</v>
      </c>
      <c r="E427" s="4" t="s">
        <v>66</v>
      </c>
      <c r="F427" s="4" t="str">
        <f>IMAGE("https://mcgrathscove.ca/connor/isaaccostumes/313_holymantle_glow.png")</f>
        <v/>
      </c>
    </row>
    <row r="428" ht="37.5" customHeight="1">
      <c r="A428" s="2" t="s">
        <v>324</v>
      </c>
      <c r="B428" s="2">
        <v>314.0</v>
      </c>
      <c r="C428" s="2" t="s">
        <v>20</v>
      </c>
      <c r="D428" s="2">
        <v>0.0</v>
      </c>
      <c r="E428" s="2" t="s">
        <v>8</v>
      </c>
      <c r="F428" s="2" t="str">
        <f>IMAGE("https://mcgrathscove.ca/connor/isaaccostumes/314_thunderthighs_body.png")</f>
        <v/>
      </c>
    </row>
    <row r="429" ht="37.5" customHeight="1">
      <c r="A429" s="4" t="s">
        <v>325</v>
      </c>
      <c r="B429" s="4">
        <v>315.0</v>
      </c>
      <c r="C429" s="4" t="s">
        <v>20</v>
      </c>
      <c r="D429" s="4">
        <v>0.0</v>
      </c>
      <c r="E429" s="4" t="s">
        <v>25</v>
      </c>
      <c r="F429" s="4" t="str">
        <f>IMAGE("https://mcgrathscove.ca/connor/isaaccostumes/315_strangeattractor_head3.png")</f>
        <v/>
      </c>
    </row>
    <row r="430" ht="37.5" customHeight="1">
      <c r="A430" s="2" t="s">
        <v>326</v>
      </c>
      <c r="B430" s="2">
        <v>316.0</v>
      </c>
      <c r="C430" s="2" t="s">
        <v>20</v>
      </c>
      <c r="D430" s="2">
        <v>0.0</v>
      </c>
      <c r="E430" s="2" t="s">
        <v>41</v>
      </c>
      <c r="F430" s="2" t="str">
        <f>IMAGE("https://mcgrathscove.ca/connor/isaaccostumes/316_cursedeye_head2.png")</f>
        <v/>
      </c>
    </row>
    <row r="431" ht="37.5" customHeight="1">
      <c r="A431" s="4" t="s">
        <v>327</v>
      </c>
      <c r="B431" s="4">
        <v>317.0</v>
      </c>
      <c r="C431" s="4" t="s">
        <v>20</v>
      </c>
      <c r="D431" s="4">
        <v>0.0</v>
      </c>
      <c r="E431" s="4" t="s">
        <v>66</v>
      </c>
      <c r="F431" s="4" t="str">
        <f>IMAGE("https://mcgrathscove.ca/connor/isaaccostumes/317_mysteriousliquid_glow.png")</f>
        <v/>
      </c>
    </row>
    <row r="432" ht="37.5" customHeight="1">
      <c r="A432" s="2" t="s">
        <v>327</v>
      </c>
      <c r="B432" s="2">
        <v>317.0</v>
      </c>
      <c r="C432" s="2" t="s">
        <v>20</v>
      </c>
      <c r="D432" s="2">
        <v>0.0</v>
      </c>
      <c r="E432" s="2" t="s">
        <v>33</v>
      </c>
      <c r="F432" s="2" t="str">
        <f>IMAGE("https://mcgrathscove.ca/connor/isaaccostumes/317_mysteriousliquid_head.png")</f>
        <v/>
      </c>
    </row>
    <row r="433" ht="37.5" customHeight="1">
      <c r="A433" s="4" t="s">
        <v>328</v>
      </c>
      <c r="B433" s="4">
        <v>326.0</v>
      </c>
      <c r="C433" s="4" t="s">
        <v>91</v>
      </c>
      <c r="D433" s="4">
        <v>0.0</v>
      </c>
      <c r="E433" s="4" t="s">
        <v>33</v>
      </c>
      <c r="F433" s="4" t="str">
        <f>IMAGE("https://mcgrathscove.ca/connor/isaaccostumes/326_breath_of_life_head.png")</f>
        <v/>
      </c>
    </row>
    <row r="434" ht="37.5" customHeight="1">
      <c r="A434" s="2" t="s">
        <v>329</v>
      </c>
      <c r="B434" s="2">
        <v>327.0</v>
      </c>
      <c r="C434" s="2" t="s">
        <v>20</v>
      </c>
      <c r="D434" s="2">
        <v>0.0</v>
      </c>
      <c r="E434" s="2" t="s">
        <v>66</v>
      </c>
      <c r="F434" s="2" t="str">
        <f>IMAGE("https://mcgrathscove.ca/connor/isaaccostumes/327_thepolaroid_glow.png")</f>
        <v/>
      </c>
    </row>
    <row r="435" ht="37.5" customHeight="1">
      <c r="A435" s="4" t="s">
        <v>330</v>
      </c>
      <c r="B435" s="4">
        <v>328.0</v>
      </c>
      <c r="C435" s="4" t="s">
        <v>20</v>
      </c>
      <c r="D435" s="4">
        <v>0.0</v>
      </c>
      <c r="E435" s="4" t="s">
        <v>66</v>
      </c>
      <c r="F435" s="4" t="str">
        <f>IMAGE("https://mcgrathscove.ca/connor/isaaccostumes/328_thenegative_glow.png")</f>
        <v/>
      </c>
    </row>
    <row r="436" ht="37.5" customHeight="1">
      <c r="A436" s="2" t="s">
        <v>331</v>
      </c>
      <c r="B436" s="2">
        <v>329.0</v>
      </c>
      <c r="C436" s="2" t="s">
        <v>20</v>
      </c>
      <c r="D436" s="2">
        <v>0.0</v>
      </c>
      <c r="E436" s="2" t="s">
        <v>25</v>
      </c>
      <c r="F436" s="2" t="str">
        <f>IMAGE("https://mcgrathscove.ca/connor/isaaccostumes/329_theludovicotreatment_head3.png")</f>
        <v/>
      </c>
    </row>
    <row r="437" ht="37.5" customHeight="1">
      <c r="A437" s="4" t="s">
        <v>332</v>
      </c>
      <c r="B437" s="4">
        <v>330.0</v>
      </c>
      <c r="C437" s="4" t="s">
        <v>20</v>
      </c>
      <c r="D437" s="4">
        <v>0.0</v>
      </c>
      <c r="E437" s="4" t="s">
        <v>28</v>
      </c>
      <c r="F437" s="4" t="str">
        <f>IMAGE("https://mcgrathscove.ca/connor/isaaccostumes/330_soymilk_head1.png")</f>
        <v/>
      </c>
    </row>
    <row r="438" ht="37.5" customHeight="1">
      <c r="A438" s="2" t="s">
        <v>333</v>
      </c>
      <c r="B438" s="2">
        <v>331.0</v>
      </c>
      <c r="C438" s="2" t="s">
        <v>20</v>
      </c>
      <c r="D438" s="2">
        <v>0.0</v>
      </c>
      <c r="E438" s="2" t="s">
        <v>66</v>
      </c>
      <c r="F438" s="2" t="str">
        <f>IMAGE("https://mcgrathscove.ca/connor/isaaccostumes/331_godhead_glow.png")</f>
        <v/>
      </c>
    </row>
    <row r="439" ht="37.5" customHeight="1">
      <c r="A439" s="4" t="s">
        <v>333</v>
      </c>
      <c r="B439" s="4">
        <v>331.0</v>
      </c>
      <c r="C439" s="4" t="s">
        <v>20</v>
      </c>
      <c r="D439" s="4">
        <v>0.0</v>
      </c>
      <c r="E439" s="4" t="s">
        <v>41</v>
      </c>
      <c r="F439" s="4" t="str">
        <f>IMAGE("https://mcgrathscove.ca/connor/isaaccostumes/331_godhead_head2.png")</f>
        <v/>
      </c>
    </row>
    <row r="440" ht="37.5" customHeight="1">
      <c r="A440" s="2" t="s">
        <v>334</v>
      </c>
      <c r="B440" s="2">
        <v>332.0</v>
      </c>
      <c r="C440" s="2" t="s">
        <v>20</v>
      </c>
      <c r="D440" s="2">
        <v>0.0</v>
      </c>
      <c r="E440" s="2" t="s">
        <v>15</v>
      </c>
      <c r="F440" s="2" t="str">
        <f>IMAGE("https://mcgrathscove.ca/connor/isaaccostumes/332_lazarus_rags_body0.png")</f>
        <v/>
      </c>
    </row>
    <row r="441" ht="37.5" customHeight="1">
      <c r="A441" s="4" t="s">
        <v>335</v>
      </c>
      <c r="B441" s="4">
        <v>333.0</v>
      </c>
      <c r="C441" s="4" t="s">
        <v>20</v>
      </c>
      <c r="D441" s="4">
        <v>0.0</v>
      </c>
      <c r="E441" s="4" t="s">
        <v>33</v>
      </c>
      <c r="F441" s="4" t="str">
        <f>IMAGE("https://mcgrathscove.ca/connor/isaaccostumes/333_mind_head.png")</f>
        <v/>
      </c>
    </row>
    <row r="442" ht="37.5" customHeight="1">
      <c r="A442" s="2" t="s">
        <v>336</v>
      </c>
      <c r="B442" s="2">
        <v>334.0</v>
      </c>
      <c r="C442" s="2" t="s">
        <v>20</v>
      </c>
      <c r="D442" s="2">
        <v>0.0</v>
      </c>
      <c r="E442" s="2" t="s">
        <v>8</v>
      </c>
      <c r="F442" s="2" t="str">
        <f>IMAGE("https://mcgrathscove.ca/connor/isaaccostumes/334_body_body.png")</f>
        <v/>
      </c>
    </row>
    <row r="443" ht="37.5" customHeight="1">
      <c r="A443" s="4" t="s">
        <v>337</v>
      </c>
      <c r="B443" s="4">
        <v>335.0</v>
      </c>
      <c r="C443" s="4" t="s">
        <v>20</v>
      </c>
      <c r="D443" s="4">
        <v>0.0</v>
      </c>
      <c r="E443" s="4" t="s">
        <v>66</v>
      </c>
      <c r="F443" s="4" t="str">
        <f>IMAGE("https://mcgrathscove.ca/connor/isaaccostumes/335_soul_glow.png")</f>
        <v/>
      </c>
    </row>
    <row r="444" ht="37.5" customHeight="1">
      <c r="A444" s="2" t="s">
        <v>338</v>
      </c>
      <c r="B444" s="2">
        <v>336.0</v>
      </c>
      <c r="C444" s="2" t="s">
        <v>20</v>
      </c>
      <c r="D444" s="2">
        <v>0.0</v>
      </c>
      <c r="E444" s="2" t="s">
        <v>33</v>
      </c>
      <c r="F444" s="2" t="str">
        <f>IMAGE("https://mcgrathscove.ca/connor/isaaccostumes/336_deadonion_head.png")</f>
        <v/>
      </c>
    </row>
    <row r="445" ht="37.5" customHeight="1">
      <c r="A445" s="4" t="s">
        <v>339</v>
      </c>
      <c r="B445" s="4">
        <v>337.0</v>
      </c>
      <c r="C445" s="4" t="s">
        <v>20</v>
      </c>
      <c r="D445" s="4">
        <v>0.0</v>
      </c>
      <c r="E445" s="4" t="s">
        <v>15</v>
      </c>
      <c r="F445" s="4" t="str">
        <f>IMAGE("https://mcgrathscove.ca/connor/isaaccostumes/337_broken_stopwatch_body0.png")</f>
        <v/>
      </c>
    </row>
    <row r="446" ht="37.5" customHeight="1">
      <c r="A446" s="2" t="s">
        <v>340</v>
      </c>
      <c r="B446" s="2">
        <v>339.0</v>
      </c>
      <c r="C446" s="2" t="s">
        <v>20</v>
      </c>
      <c r="D446" s="2">
        <v>0.0</v>
      </c>
      <c r="E446" s="2" t="s">
        <v>41</v>
      </c>
      <c r="F446" s="2" t="str">
        <f>IMAGE("https://mcgrathscove.ca/connor/isaaccostumes/339_safety_pin_head2.png")</f>
        <v/>
      </c>
    </row>
    <row r="447" ht="37.5" customHeight="1">
      <c r="A447" s="4" t="s">
        <v>341</v>
      </c>
      <c r="B447" s="4">
        <v>340.0</v>
      </c>
      <c r="C447" s="4" t="s">
        <v>20</v>
      </c>
      <c r="D447" s="4">
        <v>0.0</v>
      </c>
      <c r="E447" s="4" t="s">
        <v>33</v>
      </c>
      <c r="F447" s="4" t="str">
        <f>IMAGE("https://mcgrathscove.ca/connor/isaaccostumes/340_caffeine_pill_head.png")</f>
        <v/>
      </c>
    </row>
    <row r="448" ht="37.5" customHeight="1">
      <c r="A448" s="2" t="s">
        <v>341</v>
      </c>
      <c r="B448" s="2">
        <v>340.0</v>
      </c>
      <c r="C448" s="2" t="s">
        <v>20</v>
      </c>
      <c r="D448" s="2">
        <v>0.0</v>
      </c>
      <c r="E448" s="2" t="s">
        <v>8</v>
      </c>
      <c r="F448" s="2" t="str">
        <f>IMAGE("https://mcgrathscove.ca/connor/isaaccostumes/340_caffeine_pill_body.png")</f>
        <v/>
      </c>
    </row>
    <row r="449" ht="37.5" customHeight="1">
      <c r="A449" s="4" t="s">
        <v>342</v>
      </c>
      <c r="B449" s="4">
        <v>341.0</v>
      </c>
      <c r="C449" s="4" t="s">
        <v>20</v>
      </c>
      <c r="D449" s="4">
        <v>0.0</v>
      </c>
      <c r="E449" s="4" t="s">
        <v>33</v>
      </c>
      <c r="F449" s="4" t="str">
        <f>IMAGE("https://mcgrathscove.ca/connor/isaaccostumes/341_torn_photo_head.png")</f>
        <v/>
      </c>
    </row>
    <row r="450" ht="37.5" customHeight="1">
      <c r="A450" s="2" t="s">
        <v>342</v>
      </c>
      <c r="B450" s="2">
        <v>341.0</v>
      </c>
      <c r="C450" s="2" t="s">
        <v>20</v>
      </c>
      <c r="D450" s="2">
        <v>0.0</v>
      </c>
      <c r="E450" s="2" t="s">
        <v>28</v>
      </c>
      <c r="F450" s="2" t="str">
        <f>IMAGE("https://mcgrathscove.ca/connor/isaaccostumes/341_torn_photo_head1.png")</f>
        <v/>
      </c>
    </row>
    <row r="451" ht="37.5" customHeight="1">
      <c r="A451" s="4" t="s">
        <v>343</v>
      </c>
      <c r="B451" s="4">
        <v>342.0</v>
      </c>
      <c r="C451" s="4" t="s">
        <v>20</v>
      </c>
      <c r="D451" s="4">
        <v>0.0</v>
      </c>
      <c r="E451" s="4" t="s">
        <v>33</v>
      </c>
      <c r="F451" s="4" t="str">
        <f>IMAGE("https://mcgrathscove.ca/connor/isaaccostumes/342_blue_cap_head.png")</f>
        <v/>
      </c>
    </row>
    <row r="452" ht="37.5" customHeight="1">
      <c r="A452" s="2" t="s">
        <v>343</v>
      </c>
      <c r="B452" s="2">
        <v>342.0</v>
      </c>
      <c r="C452" s="2" t="s">
        <v>20</v>
      </c>
      <c r="D452" s="2">
        <v>0.0</v>
      </c>
      <c r="E452" s="2" t="s">
        <v>42</v>
      </c>
      <c r="F452" s="2" t="str">
        <f>IMAGE("https://mcgrathscove.ca/connor/isaaccostumes/342_blue_cap_head4.png")</f>
        <v/>
      </c>
    </row>
    <row r="453" ht="37.5" customHeight="1">
      <c r="A453" s="4" t="s">
        <v>344</v>
      </c>
      <c r="B453" s="4">
        <v>343.0</v>
      </c>
      <c r="C453" s="4" t="s">
        <v>20</v>
      </c>
      <c r="D453" s="4">
        <v>0.0</v>
      </c>
      <c r="E453" s="4" t="s">
        <v>15</v>
      </c>
      <c r="F453" s="4" t="str">
        <f>IMAGE("https://mcgrathscove.ca/connor/isaaccostumes/343_latchkey_body0.png")</f>
        <v/>
      </c>
    </row>
    <row r="454" ht="37.5" customHeight="1">
      <c r="A454" s="2" t="s">
        <v>345</v>
      </c>
      <c r="B454" s="2">
        <v>344.0</v>
      </c>
      <c r="C454" s="2" t="s">
        <v>20</v>
      </c>
      <c r="D454" s="2">
        <v>0.0</v>
      </c>
      <c r="E454" s="2" t="s">
        <v>15</v>
      </c>
      <c r="F454" s="2" t="str">
        <f>IMAGE("https://mcgrathscove.ca/connor/isaaccostumes/344_matchbook_body0.png")</f>
        <v/>
      </c>
    </row>
    <row r="455" ht="37.5" customHeight="1">
      <c r="A455" s="4" t="s">
        <v>346</v>
      </c>
      <c r="B455" s="4">
        <v>345.0</v>
      </c>
      <c r="C455" s="4" t="s">
        <v>20</v>
      </c>
      <c r="D455" s="4">
        <v>0.0</v>
      </c>
      <c r="E455" s="4" t="s">
        <v>8</v>
      </c>
      <c r="F455" s="4" t="str">
        <f>IMAGE("https://mcgrathscove.ca/connor/isaaccostumes/345_synthoil_body.png")</f>
        <v/>
      </c>
    </row>
    <row r="456" ht="37.5" customHeight="1">
      <c r="A456" s="2" t="s">
        <v>347</v>
      </c>
      <c r="B456" s="2">
        <v>350.0</v>
      </c>
      <c r="C456" s="2" t="s">
        <v>20</v>
      </c>
      <c r="D456" s="2">
        <v>0.0</v>
      </c>
      <c r="E456" s="2" t="s">
        <v>66</v>
      </c>
      <c r="F456" s="2" t="str">
        <f>IMAGE("https://mcgrathscove.ca/connor/isaaccostumes/350_toxicshock_glow.png")</f>
        <v/>
      </c>
    </row>
    <row r="457" ht="37.5" customHeight="1">
      <c r="A457" s="4" t="s">
        <v>348</v>
      </c>
      <c r="B457" s="4">
        <v>353.0</v>
      </c>
      <c r="C457" s="4" t="s">
        <v>20</v>
      </c>
      <c r="D457" s="4">
        <v>0.0</v>
      </c>
      <c r="E457" s="4" t="s">
        <v>25</v>
      </c>
      <c r="F457" s="4" t="str">
        <f>IMAGE("https://mcgrathscove.ca/connor/isaaccostumes/353_bomberboy_head3.png")</f>
        <v/>
      </c>
    </row>
    <row r="458" ht="37.5" customHeight="1">
      <c r="A458" s="2" t="s">
        <v>349</v>
      </c>
      <c r="B458" s="2">
        <v>354.0</v>
      </c>
      <c r="C458" s="2" t="s">
        <v>20</v>
      </c>
      <c r="D458" s="2">
        <v>0.0</v>
      </c>
      <c r="E458" s="2" t="s">
        <v>15</v>
      </c>
      <c r="F458" s="2" t="str">
        <f>IMAGE("https://mcgrathscove.ca/connor/isaaccostumes/354_crackerjacks_body0.png")</f>
        <v/>
      </c>
    </row>
    <row r="459" ht="37.5" customHeight="1">
      <c r="A459" s="4" t="s">
        <v>350</v>
      </c>
      <c r="B459" s="4">
        <v>355.0</v>
      </c>
      <c r="C459" s="4" t="s">
        <v>20</v>
      </c>
      <c r="D459" s="4">
        <v>0.0</v>
      </c>
      <c r="E459" s="4" t="s">
        <v>15</v>
      </c>
      <c r="F459" s="4" t="str">
        <f>IMAGE("https://mcgrathscove.ca/connor/isaaccostumes/355_momspearls_body0.png")</f>
        <v/>
      </c>
    </row>
    <row r="460" ht="37.5" customHeight="1">
      <c r="A460" s="2" t="s">
        <v>351</v>
      </c>
      <c r="B460" s="2">
        <v>356.0</v>
      </c>
      <c r="C460" s="2" t="s">
        <v>20</v>
      </c>
      <c r="D460" s="2">
        <v>0.0</v>
      </c>
      <c r="E460" s="2" t="s">
        <v>8</v>
      </c>
      <c r="F460" s="2" t="str">
        <f>IMAGE("https://mcgrathscove.ca/connor/isaaccostumes/356_carbattery_body.png")</f>
        <v/>
      </c>
    </row>
    <row r="461" ht="37.5" customHeight="1">
      <c r="A461" s="4" t="s">
        <v>352</v>
      </c>
      <c r="B461" s="4">
        <v>358.0</v>
      </c>
      <c r="C461" s="4" t="s">
        <v>20</v>
      </c>
      <c r="D461" s="4">
        <v>0.0</v>
      </c>
      <c r="E461" s="4" t="s">
        <v>33</v>
      </c>
      <c r="F461" s="4" t="str">
        <f>IMAGE("https://mcgrathscove.ca/connor/isaaccostumes/358_thewiz_head.png")</f>
        <v/>
      </c>
    </row>
    <row r="462" ht="37.5" customHeight="1">
      <c r="A462" s="2" t="s">
        <v>353</v>
      </c>
      <c r="B462" s="2">
        <v>359.0</v>
      </c>
      <c r="C462" s="2" t="s">
        <v>20</v>
      </c>
      <c r="D462" s="2">
        <v>0.0</v>
      </c>
      <c r="E462" s="2" t="s">
        <v>28</v>
      </c>
      <c r="F462" s="2" t="str">
        <f>IMAGE("https://mcgrathscove.ca/connor/isaaccostumes/359_8inchnail_head1.png")</f>
        <v/>
      </c>
    </row>
    <row r="463" ht="37.5" customHeight="1">
      <c r="A463" s="4" t="s">
        <v>354</v>
      </c>
      <c r="B463" s="4">
        <v>366.0</v>
      </c>
      <c r="C463" s="4" t="s">
        <v>20</v>
      </c>
      <c r="D463" s="4">
        <v>0.0</v>
      </c>
      <c r="E463" s="4" t="s">
        <v>28</v>
      </c>
      <c r="F463" s="4" t="str">
        <f>IMAGE("https://mcgrathscove.ca/connor/isaaccostumes/366_scatterbombs_head1.png")</f>
        <v/>
      </c>
    </row>
    <row r="464" ht="37.5" customHeight="1">
      <c r="A464" s="2" t="s">
        <v>355</v>
      </c>
      <c r="B464" s="2">
        <v>367.0</v>
      </c>
      <c r="C464" s="2" t="s">
        <v>20</v>
      </c>
      <c r="D464" s="2">
        <v>0.0</v>
      </c>
      <c r="E464" s="2" t="s">
        <v>8</v>
      </c>
      <c r="F464" s="2" t="str">
        <f>IMAGE("https://mcgrathscove.ca/connor/isaaccostumes/367_stickybombs_body.png")</f>
        <v/>
      </c>
    </row>
    <row r="465" ht="37.5" customHeight="1">
      <c r="A465" s="4" t="s">
        <v>356</v>
      </c>
      <c r="B465" s="4">
        <v>368.0</v>
      </c>
      <c r="C465" s="4" t="s">
        <v>20</v>
      </c>
      <c r="D465" s="4">
        <v>0.0</v>
      </c>
      <c r="E465" s="4" t="s">
        <v>41</v>
      </c>
      <c r="F465" s="4" t="str">
        <f>IMAGE("https://mcgrathscove.ca/connor/isaaccostumes/368_epiphora_head2.png")</f>
        <v/>
      </c>
    </row>
    <row r="466" ht="37.5" customHeight="1">
      <c r="A466" s="2" t="s">
        <v>357</v>
      </c>
      <c r="B466" s="2">
        <v>369.0</v>
      </c>
      <c r="C466" s="2" t="s">
        <v>20</v>
      </c>
      <c r="D466" s="2">
        <v>0.0</v>
      </c>
      <c r="E466" s="2" t="s">
        <v>33</v>
      </c>
      <c r="F466" s="2" t="str">
        <f>IMAGE("https://mcgrathscove.ca/connor/isaaccostumes/369_continuum_head.png")</f>
        <v/>
      </c>
    </row>
    <row r="467" ht="37.5" customHeight="1">
      <c r="A467" s="4" t="s">
        <v>358</v>
      </c>
      <c r="B467" s="4">
        <v>370.0</v>
      </c>
      <c r="C467" s="4" t="s">
        <v>20</v>
      </c>
      <c r="D467" s="4">
        <v>0.0</v>
      </c>
      <c r="E467" s="4" t="s">
        <v>15</v>
      </c>
      <c r="F467" s="4" t="str">
        <f>IMAGE("https://mcgrathscove.ca/connor/isaaccostumes/370_mrdolly_body0.png")</f>
        <v/>
      </c>
    </row>
    <row r="468" ht="37.5" customHeight="1">
      <c r="A468" s="2" t="s">
        <v>359</v>
      </c>
      <c r="B468" s="2">
        <v>371.0</v>
      </c>
      <c r="C468" s="2" t="s">
        <v>20</v>
      </c>
      <c r="D468" s="2">
        <v>0.0</v>
      </c>
      <c r="E468" s="2" t="s">
        <v>28</v>
      </c>
      <c r="F468" s="2" t="str">
        <f>IMAGE("https://mcgrathscove.ca/connor/isaaccostumes/371_curseofthetower_head1.png")</f>
        <v/>
      </c>
    </row>
    <row r="469" ht="37.5" customHeight="1">
      <c r="A469" s="4" t="s">
        <v>360</v>
      </c>
      <c r="B469" s="4">
        <v>373.0</v>
      </c>
      <c r="C469" s="4" t="s">
        <v>20</v>
      </c>
      <c r="D469" s="4">
        <v>0.0</v>
      </c>
      <c r="E469" s="4" t="s">
        <v>41</v>
      </c>
      <c r="F469" s="4" t="str">
        <f>IMAGE("https://mcgrathscove.ca/connor/isaaccostumes/373_deadeye_head2.png")</f>
        <v/>
      </c>
    </row>
    <row r="470" ht="37.5" customHeight="1">
      <c r="A470" s="2" t="s">
        <v>361</v>
      </c>
      <c r="B470" s="2">
        <v>374.0</v>
      </c>
      <c r="C470" s="2" t="s">
        <v>20</v>
      </c>
      <c r="D470" s="2">
        <v>0.0</v>
      </c>
      <c r="E470" s="2" t="s">
        <v>41</v>
      </c>
      <c r="F470" s="2" t="str">
        <f>IMAGE("https://mcgrathscove.ca/connor/isaaccostumes/374_holylight_head2.png")</f>
        <v/>
      </c>
    </row>
    <row r="471" ht="37.5" customHeight="1">
      <c r="A471" s="4" t="s">
        <v>362</v>
      </c>
      <c r="B471" s="4">
        <v>375.0</v>
      </c>
      <c r="C471" s="4" t="s">
        <v>20</v>
      </c>
      <c r="D471" s="4">
        <v>0.0</v>
      </c>
      <c r="E471" s="4" t="s">
        <v>42</v>
      </c>
      <c r="F471" s="4" t="str">
        <f>IMAGE("https://mcgrathscove.ca/connor/isaaccostumes/375_hosthat_head4.png")</f>
        <v/>
      </c>
    </row>
    <row r="472" ht="37.5" customHeight="1">
      <c r="A472" s="2" t="s">
        <v>363</v>
      </c>
      <c r="B472" s="2">
        <v>377.0</v>
      </c>
      <c r="C472" s="2" t="s">
        <v>20</v>
      </c>
      <c r="D472" s="2">
        <v>0.0</v>
      </c>
      <c r="E472" s="2" t="s">
        <v>8</v>
      </c>
      <c r="F472" s="2" t="str">
        <f>IMAGE("https://mcgrathscove.ca/connor/isaaccostumes/377_burstingsack_body.png")</f>
        <v/>
      </c>
    </row>
    <row r="473" ht="37.5" customHeight="1">
      <c r="A473" s="4" t="s">
        <v>364</v>
      </c>
      <c r="B473" s="4">
        <v>378.0</v>
      </c>
      <c r="C473" s="4" t="s">
        <v>20</v>
      </c>
      <c r="D473" s="4">
        <v>0.0</v>
      </c>
      <c r="E473" s="4" t="s">
        <v>15</v>
      </c>
      <c r="F473" s="4" t="str">
        <f>IMAGE("https://mcgrathscove.ca/connor/isaaccostumes/378_no2_body0.png")</f>
        <v/>
      </c>
    </row>
    <row r="474" ht="37.5" customHeight="1">
      <c r="A474" s="2" t="s">
        <v>365</v>
      </c>
      <c r="B474" s="2">
        <v>379.0</v>
      </c>
      <c r="C474" s="2" t="s">
        <v>20</v>
      </c>
      <c r="D474" s="2">
        <v>0.0</v>
      </c>
      <c r="E474" s="2" t="s">
        <v>28</v>
      </c>
      <c r="F474" s="2" t="str">
        <f>IMAGE("https://mcgrathscove.ca/connor/isaaccostumes/379_pupuladuplex_head1.png")</f>
        <v/>
      </c>
    </row>
    <row r="475" ht="37.5" customHeight="1">
      <c r="A475" s="4" t="s">
        <v>366</v>
      </c>
      <c r="B475" s="4">
        <v>380.0</v>
      </c>
      <c r="C475" s="4" t="s">
        <v>20</v>
      </c>
      <c r="D475" s="4">
        <v>0.0</v>
      </c>
      <c r="E475" s="4" t="s">
        <v>41</v>
      </c>
      <c r="F475" s="4" t="str">
        <f>IMAGE("https://mcgrathscove.ca/connor/isaaccostumes/380_paytoplay_head2.png")</f>
        <v/>
      </c>
    </row>
    <row r="476" ht="37.5" customHeight="1">
      <c r="A476" s="2" t="s">
        <v>367</v>
      </c>
      <c r="B476" s="2">
        <v>381.0</v>
      </c>
      <c r="C476" s="2" t="s">
        <v>20</v>
      </c>
      <c r="D476" s="2">
        <v>0.0</v>
      </c>
      <c r="E476" s="2" t="s">
        <v>41</v>
      </c>
      <c r="F476" s="2" t="str">
        <f>IMAGE("https://mcgrathscove.ca/connor/isaaccostumes/381_edensblessing_head2.png")</f>
        <v/>
      </c>
    </row>
    <row r="477" ht="37.5" customHeight="1">
      <c r="A477" s="4" t="s">
        <v>368</v>
      </c>
      <c r="B477" s="4">
        <v>391.0</v>
      </c>
      <c r="C477" s="4" t="s">
        <v>20</v>
      </c>
      <c r="D477" s="4">
        <v>0.0</v>
      </c>
      <c r="E477" s="4" t="s">
        <v>8</v>
      </c>
      <c r="F477" s="4" t="str">
        <f>IMAGE("https://mcgrathscove.ca/connor/isaaccostumes/391_betrayal_body.png")</f>
        <v/>
      </c>
    </row>
    <row r="478" ht="37.5" customHeight="1">
      <c r="A478" s="2" t="s">
        <v>369</v>
      </c>
      <c r="B478" s="2">
        <v>392.0</v>
      </c>
      <c r="C478" s="2" t="s">
        <v>20</v>
      </c>
      <c r="D478" s="2">
        <v>0.0</v>
      </c>
      <c r="E478" s="2" t="s">
        <v>28</v>
      </c>
      <c r="F478" s="2" t="str">
        <f>IMAGE("https://mcgrathscove.ca/connor/isaaccostumes/392_zodiac_head1.png")</f>
        <v/>
      </c>
    </row>
    <row r="479" ht="37.5" customHeight="1">
      <c r="A479" s="4" t="s">
        <v>370</v>
      </c>
      <c r="B479" s="4">
        <v>393.0</v>
      </c>
      <c r="C479" s="4" t="s">
        <v>20</v>
      </c>
      <c r="D479" s="4">
        <v>0.0</v>
      </c>
      <c r="E479" s="4" t="s">
        <v>28</v>
      </c>
      <c r="F479" s="4" t="str">
        <f>IMAGE("https://mcgrathscove.ca/connor/isaaccostumes/393_serpentskiss_head1.png")</f>
        <v/>
      </c>
    </row>
    <row r="480" ht="37.5" customHeight="1">
      <c r="A480" s="2" t="s">
        <v>371</v>
      </c>
      <c r="B480" s="2">
        <v>394.0</v>
      </c>
      <c r="C480" s="2" t="s">
        <v>20</v>
      </c>
      <c r="D480" s="2">
        <v>0.0</v>
      </c>
      <c r="E480" s="2" t="s">
        <v>28</v>
      </c>
      <c r="F480" s="2" t="str">
        <f>IMAGE("https://mcgrathscove.ca/connor/isaaccostumes/394_marked_head1.png")</f>
        <v/>
      </c>
    </row>
    <row r="481" ht="37.5" customHeight="1">
      <c r="A481" s="4" t="s">
        <v>372</v>
      </c>
      <c r="B481" s="4">
        <v>395.0</v>
      </c>
      <c r="C481" s="4" t="s">
        <v>20</v>
      </c>
      <c r="D481" s="4">
        <v>0.0</v>
      </c>
      <c r="E481" s="4" t="s">
        <v>42</v>
      </c>
      <c r="F481" s="4" t="str">
        <f>IMAGE("https://mcgrathscove.ca/connor/isaaccostumes/395_techx_head4.png")</f>
        <v/>
      </c>
    </row>
    <row r="482" ht="37.5" customHeight="1">
      <c r="A482" s="2" t="s">
        <v>373</v>
      </c>
      <c r="B482" s="2">
        <v>397.0</v>
      </c>
      <c r="C482" s="2" t="s">
        <v>20</v>
      </c>
      <c r="D482" s="2">
        <v>0.0</v>
      </c>
      <c r="E482" s="2" t="s">
        <v>41</v>
      </c>
      <c r="F482" s="2" t="str">
        <f>IMAGE("https://mcgrathscove.ca/connor/isaaccostumes/397_tractorbeam_head2.png")</f>
        <v/>
      </c>
    </row>
    <row r="483" ht="37.5" customHeight="1">
      <c r="A483" s="4" t="s">
        <v>374</v>
      </c>
      <c r="B483" s="4">
        <v>398.0</v>
      </c>
      <c r="C483" s="4" t="s">
        <v>20</v>
      </c>
      <c r="D483" s="4">
        <v>0.0</v>
      </c>
      <c r="E483" s="4" t="s">
        <v>33</v>
      </c>
      <c r="F483" s="4" t="str">
        <f>IMAGE("https://mcgrathscove.ca/connor/isaaccostumes/398_godsflesh_head.png")</f>
        <v/>
      </c>
    </row>
    <row r="484" ht="37.5" customHeight="1">
      <c r="A484" s="2" t="s">
        <v>375</v>
      </c>
      <c r="B484" s="2">
        <v>399.0</v>
      </c>
      <c r="C484" s="2" t="s">
        <v>20</v>
      </c>
      <c r="D484" s="2">
        <v>200.0</v>
      </c>
      <c r="E484" s="2" t="s">
        <v>33</v>
      </c>
      <c r="F484" s="2" t="str">
        <f>IMAGE("https://mcgrathscove.ca/connor/isaaccostumes/399_mawofthevoid_head.png")</f>
        <v/>
      </c>
    </row>
    <row r="485" ht="37.5" customHeight="1">
      <c r="A485" s="4" t="s">
        <v>375</v>
      </c>
      <c r="B485" s="4">
        <v>399.0</v>
      </c>
      <c r="C485" s="4" t="s">
        <v>20</v>
      </c>
      <c r="D485" s="4">
        <v>200.0</v>
      </c>
      <c r="E485" s="4" t="s">
        <v>8</v>
      </c>
      <c r="F485" s="4" t="str">
        <f>IMAGE("https://mcgrathscove.ca/connor/isaaccostumes/399_mawofthevoid_body.png")</f>
        <v/>
      </c>
    </row>
    <row r="486" ht="37.5" customHeight="1">
      <c r="A486" s="2" t="s">
        <v>376</v>
      </c>
      <c r="B486" s="2">
        <v>402.0</v>
      </c>
      <c r="C486" s="2" t="s">
        <v>20</v>
      </c>
      <c r="D486" s="2">
        <v>0.0</v>
      </c>
      <c r="E486" s="2" t="s">
        <v>33</v>
      </c>
      <c r="F486" s="2" t="str">
        <f>IMAGE("https://mcgrathscove.ca/connor/isaaccostumes/402_chaos_head.png")</f>
        <v/>
      </c>
    </row>
    <row r="487" ht="37.5" customHeight="1">
      <c r="A487" s="4" t="s">
        <v>377</v>
      </c>
      <c r="B487" s="4">
        <v>407.0</v>
      </c>
      <c r="C487" s="4" t="s">
        <v>20</v>
      </c>
      <c r="D487" s="4">
        <v>0.0</v>
      </c>
      <c r="E487" s="4" t="s">
        <v>41</v>
      </c>
      <c r="F487" s="4" t="str">
        <f>IMAGE("https://mcgrathscove.ca/connor/isaaccostumes/407_purity_head2.png")</f>
        <v/>
      </c>
    </row>
    <row r="488" ht="37.5" customHeight="1">
      <c r="A488" s="2" t="s">
        <v>378</v>
      </c>
      <c r="B488" s="2">
        <v>408.0</v>
      </c>
      <c r="C488" s="2" t="s">
        <v>20</v>
      </c>
      <c r="D488" s="2">
        <v>0.0</v>
      </c>
      <c r="E488" s="2" t="s">
        <v>44</v>
      </c>
      <c r="F488" s="2" t="str">
        <f>IMAGE("https://mcgrathscove.ca/connor/isaaccostumes/408_athame_body1.png")</f>
        <v/>
      </c>
    </row>
    <row r="489" ht="37.5" customHeight="1">
      <c r="A489" s="4" t="s">
        <v>379</v>
      </c>
      <c r="B489" s="4">
        <v>409.0</v>
      </c>
      <c r="C489" s="4" t="s">
        <v>20</v>
      </c>
      <c r="D489" s="4">
        <v>0.0</v>
      </c>
      <c r="E489" s="4" t="s">
        <v>44</v>
      </c>
      <c r="F489" s="4" t="str">
        <f>IMAGE("https://mcgrathscove.ca/connor/isaaccostumes/409_emptyvessel_body1.png")</f>
        <v/>
      </c>
    </row>
    <row r="490" ht="37.5" customHeight="1">
      <c r="A490" s="2" t="s">
        <v>380</v>
      </c>
      <c r="B490" s="2">
        <v>410.0</v>
      </c>
      <c r="C490" s="2" t="s">
        <v>20</v>
      </c>
      <c r="D490" s="2">
        <v>0.0</v>
      </c>
      <c r="E490" s="2" t="s">
        <v>28</v>
      </c>
      <c r="F490" s="2" t="str">
        <f>IMAGE("https://mcgrathscove.ca/connor/isaaccostumes/410_evileye_head1.png")</f>
        <v/>
      </c>
    </row>
    <row r="491" ht="37.5" customHeight="1">
      <c r="A491" s="4" t="s">
        <v>381</v>
      </c>
      <c r="B491" s="4">
        <v>411.0</v>
      </c>
      <c r="C491" s="4" t="s">
        <v>20</v>
      </c>
      <c r="D491" s="4">
        <v>0.0</v>
      </c>
      <c r="E491" s="4" t="s">
        <v>8</v>
      </c>
      <c r="F491" s="4" t="str">
        <f>IMAGE("https://mcgrathscove.ca/connor/isaaccostumes/411_lustyblood_body.png")</f>
        <v/>
      </c>
    </row>
    <row r="492" ht="37.5" customHeight="1">
      <c r="A492" s="2" t="s">
        <v>382</v>
      </c>
      <c r="B492" s="2">
        <v>412.0</v>
      </c>
      <c r="C492" s="2" t="s">
        <v>20</v>
      </c>
      <c r="D492" s="2">
        <v>0.0</v>
      </c>
      <c r="E492" s="2" t="s">
        <v>8</v>
      </c>
      <c r="F492" s="2" t="str">
        <f>IMAGE("https://mcgrathscove.ca/connor/isaaccostumes/412_cambionconception_body.png")</f>
        <v/>
      </c>
    </row>
    <row r="493" ht="37.5" customHeight="1">
      <c r="A493" s="4" t="s">
        <v>383</v>
      </c>
      <c r="B493" s="4">
        <v>413.0</v>
      </c>
      <c r="C493" s="4" t="s">
        <v>20</v>
      </c>
      <c r="D493" s="4">
        <v>0.0</v>
      </c>
      <c r="E493" s="4" t="s">
        <v>8</v>
      </c>
      <c r="F493" s="4" t="str">
        <f>IMAGE("https://mcgrathscove.ca/connor/isaaccostumes/413_immaculateconception_body.png")</f>
        <v/>
      </c>
    </row>
    <row r="494" ht="37.5" customHeight="1">
      <c r="A494" s="2" t="s">
        <v>384</v>
      </c>
      <c r="B494" s="2">
        <v>414.0</v>
      </c>
      <c r="C494" s="2" t="s">
        <v>20</v>
      </c>
      <c r="D494" s="2">
        <v>0.0</v>
      </c>
      <c r="E494" s="2" t="s">
        <v>28</v>
      </c>
      <c r="F494" s="2" t="str">
        <f>IMAGE("https://mcgrathscove.ca/connor/isaaccostumes/414_moreoptions_head1.png")</f>
        <v/>
      </c>
    </row>
    <row r="495" ht="37.5" customHeight="1">
      <c r="A495" s="4" t="s">
        <v>385</v>
      </c>
      <c r="B495" s="4">
        <v>418.0</v>
      </c>
      <c r="C495" s="4" t="s">
        <v>20</v>
      </c>
      <c r="D495" s="4">
        <v>0.0</v>
      </c>
      <c r="E495" s="4" t="s">
        <v>33</v>
      </c>
      <c r="F495" s="4" t="str">
        <f>IMAGE("https://mcgrathscove.ca/connor/isaaccostumes/418_fruitcake_head.png")</f>
        <v/>
      </c>
    </row>
    <row r="496" ht="37.5" customHeight="1">
      <c r="A496" s="2" t="s">
        <v>386</v>
      </c>
      <c r="B496" s="2">
        <v>420.0</v>
      </c>
      <c r="C496" s="2" t="s">
        <v>20</v>
      </c>
      <c r="D496" s="2">
        <v>0.0</v>
      </c>
      <c r="E496" s="2" t="s">
        <v>15</v>
      </c>
      <c r="F496" s="2" t="str">
        <f>IMAGE("https://mcgrathscove.ca/connor/isaaccostumes/420_blackpowder_body0.png")</f>
        <v/>
      </c>
    </row>
    <row r="497" ht="37.5" customHeight="1">
      <c r="A497" s="4" t="s">
        <v>387</v>
      </c>
      <c r="B497" s="4">
        <v>424.0</v>
      </c>
      <c r="C497" s="4" t="s">
        <v>20</v>
      </c>
      <c r="D497" s="4">
        <v>0.0</v>
      </c>
      <c r="E497" s="4" t="s">
        <v>33</v>
      </c>
      <c r="F497" s="4" t="str">
        <f>IMAGE("https://mcgrathscove.ca/connor/isaaccostumes/424_sackhead_head.png")</f>
        <v/>
      </c>
    </row>
    <row r="498" ht="37.5" customHeight="1">
      <c r="A498" s="2" t="s">
        <v>388</v>
      </c>
      <c r="B498" s="2">
        <v>425.0</v>
      </c>
      <c r="C498" s="2" t="s">
        <v>20</v>
      </c>
      <c r="D498" s="2">
        <v>0.0</v>
      </c>
      <c r="E498" s="2" t="s">
        <v>44</v>
      </c>
      <c r="F498" s="2" t="str">
        <f>IMAGE("https://mcgrathscove.ca/connor/isaaccostumes/425_nightlight_body1.png")</f>
        <v/>
      </c>
    </row>
    <row r="499" ht="37.5" customHeight="1">
      <c r="A499" s="4" t="s">
        <v>389</v>
      </c>
      <c r="B499" s="4">
        <v>428.0</v>
      </c>
      <c r="C499" s="4" t="s">
        <v>20</v>
      </c>
      <c r="D499" s="4">
        <v>0.0</v>
      </c>
      <c r="E499" s="4" t="s">
        <v>8</v>
      </c>
      <c r="F499" s="4" t="str">
        <f>IMAGE("https://mcgrathscove.ca/connor/isaaccostumes/428_pjs_body.png")</f>
        <v/>
      </c>
    </row>
    <row r="500" ht="37.5" customHeight="1">
      <c r="A500" s="2" t="s">
        <v>390</v>
      </c>
      <c r="B500" s="2">
        <v>429.0</v>
      </c>
      <c r="C500" s="2" t="s">
        <v>20</v>
      </c>
      <c r="D500" s="2">
        <v>0.0</v>
      </c>
      <c r="E500" s="2" t="s">
        <v>41</v>
      </c>
      <c r="F500" s="2" t="str">
        <f>IMAGE("https://mcgrathscove.ca/connor/isaaccostumes/429_headofthekeeper_head2.png")</f>
        <v/>
      </c>
    </row>
    <row r="501" ht="37.5" customHeight="1">
      <c r="A501" s="4" t="s">
        <v>391</v>
      </c>
      <c r="B501" s="4">
        <v>432.0</v>
      </c>
      <c r="C501" s="4" t="s">
        <v>20</v>
      </c>
      <c r="D501" s="4">
        <v>0.0</v>
      </c>
      <c r="E501" s="4" t="s">
        <v>42</v>
      </c>
      <c r="F501" s="4" t="str">
        <f>IMAGE("https://mcgrathscove.ca/connor/isaaccostumes/432_glitterbombs_head4.png")</f>
        <v/>
      </c>
    </row>
    <row r="502" ht="37.5" customHeight="1">
      <c r="A502" s="2" t="s">
        <v>392</v>
      </c>
      <c r="B502" s="2">
        <v>433.0</v>
      </c>
      <c r="C502" s="2" t="s">
        <v>20</v>
      </c>
      <c r="D502" s="2">
        <v>0.0</v>
      </c>
      <c r="E502" s="2" t="s">
        <v>66</v>
      </c>
      <c r="F502" s="2" t="str">
        <f>IMAGE("https://mcgrathscove.ca/connor/isaaccostumes/433_myshadow_glow.png")</f>
        <v/>
      </c>
    </row>
    <row r="503" ht="37.5" customHeight="1">
      <c r="A503" s="4" t="s">
        <v>393</v>
      </c>
      <c r="B503" s="4">
        <v>438.0</v>
      </c>
      <c r="C503" s="4" t="s">
        <v>20</v>
      </c>
      <c r="D503" s="4">
        <v>0.0</v>
      </c>
      <c r="E503" s="4" t="s">
        <v>41</v>
      </c>
      <c r="F503" s="4" t="str">
        <f>IMAGE("https://mcgrathscove.ca/connor/isaaccostumes/438_binky_head2.png")</f>
        <v/>
      </c>
    </row>
    <row r="504" ht="37.5" customHeight="1">
      <c r="A504" s="2" t="s">
        <v>394</v>
      </c>
      <c r="B504" s="2">
        <v>443.0</v>
      </c>
      <c r="C504" s="2" t="s">
        <v>20</v>
      </c>
      <c r="D504" s="2">
        <v>0.0</v>
      </c>
      <c r="E504" s="2" t="s">
        <v>28</v>
      </c>
      <c r="F504" s="2" t="str">
        <f>IMAGE("https://mcgrathscove.ca/connor/isaaccostumes/443_apple_head1.png")</f>
        <v/>
      </c>
    </row>
    <row r="505" ht="37.5" customHeight="1">
      <c r="A505" s="4" t="s">
        <v>395</v>
      </c>
      <c r="B505" s="4">
        <v>444.0</v>
      </c>
      <c r="C505" s="4" t="s">
        <v>20</v>
      </c>
      <c r="D505" s="4">
        <v>0.0</v>
      </c>
      <c r="E505" s="4" t="s">
        <v>41</v>
      </c>
      <c r="F505" s="4" t="str">
        <f>IMAGE("https://mcgrathscove.ca/connor/isaaccostumes/444_leadpencil_head2.png")</f>
        <v/>
      </c>
    </row>
    <row r="506" ht="37.5" customHeight="1">
      <c r="A506" s="2" t="s">
        <v>396</v>
      </c>
      <c r="B506" s="2">
        <v>445.0</v>
      </c>
      <c r="C506" s="2" t="s">
        <v>20</v>
      </c>
      <c r="D506" s="2">
        <v>0.0</v>
      </c>
      <c r="E506" s="2" t="s">
        <v>28</v>
      </c>
      <c r="F506" s="2" t="str">
        <f>IMAGE("https://mcgrathscove.ca/connor/isaaccostumes/445_dogtooth_head1.png")</f>
        <v/>
      </c>
    </row>
    <row r="507" ht="37.5" customHeight="1">
      <c r="A507" s="4" t="s">
        <v>397</v>
      </c>
      <c r="B507" s="4">
        <v>446.0</v>
      </c>
      <c r="C507" s="4" t="s">
        <v>20</v>
      </c>
      <c r="D507" s="4">
        <v>0.0</v>
      </c>
      <c r="E507" s="4" t="s">
        <v>28</v>
      </c>
      <c r="F507" s="4" t="str">
        <f>IMAGE("https://mcgrathscove.ca/connor/isaaccostumes/446_deadtooth_head1.png")</f>
        <v/>
      </c>
    </row>
    <row r="508" ht="37.5" customHeight="1">
      <c r="A508" s="2" t="s">
        <v>398</v>
      </c>
      <c r="B508" s="2">
        <v>447.0</v>
      </c>
      <c r="C508" s="2" t="s">
        <v>20</v>
      </c>
      <c r="D508" s="2">
        <v>0.0</v>
      </c>
      <c r="E508" s="2" t="s">
        <v>15</v>
      </c>
      <c r="F508" s="2" t="str">
        <f>IMAGE("https://mcgrathscove.ca/connor/isaaccostumes/447_lingerbean_body0.png")</f>
        <v/>
      </c>
    </row>
    <row r="509" ht="37.5" customHeight="1">
      <c r="A509" s="4" t="s">
        <v>399</v>
      </c>
      <c r="B509" s="4">
        <v>448.0</v>
      </c>
      <c r="C509" s="4" t="s">
        <v>20</v>
      </c>
      <c r="D509" s="4">
        <v>0.0</v>
      </c>
      <c r="E509" s="4" t="s">
        <v>8</v>
      </c>
      <c r="F509" s="4" t="str">
        <f>IMAGE("https://mcgrathscove.ca/connor/isaaccostumes/448_shardofglass_body.png")</f>
        <v/>
      </c>
    </row>
    <row r="510" ht="37.5" customHeight="1">
      <c r="A510" s="2" t="s">
        <v>400</v>
      </c>
      <c r="B510" s="2">
        <v>449.0</v>
      </c>
      <c r="C510" s="2" t="s">
        <v>20</v>
      </c>
      <c r="D510" s="2">
        <v>0.0</v>
      </c>
      <c r="E510" s="2" t="s">
        <v>25</v>
      </c>
      <c r="F510" s="2" t="str">
        <f>IMAGE("https://mcgrathscove.ca/connor/isaaccostumes/449_metalplate_head3.png")</f>
        <v/>
      </c>
    </row>
    <row r="511" ht="37.5" customHeight="1">
      <c r="A511" s="4" t="s">
        <v>401</v>
      </c>
      <c r="B511" s="4">
        <v>450.0</v>
      </c>
      <c r="C511" s="4" t="s">
        <v>20</v>
      </c>
      <c r="D511" s="4">
        <v>0.0</v>
      </c>
      <c r="E511" s="4" t="s">
        <v>41</v>
      </c>
      <c r="F511" s="4" t="str">
        <f>IMAGE("https://mcgrathscove.ca/connor/isaaccostumes/450_eyeofgreed_head2.png")</f>
        <v/>
      </c>
    </row>
    <row r="512" ht="37.5" customHeight="1">
      <c r="A512" s="2" t="s">
        <v>402</v>
      </c>
      <c r="B512" s="2">
        <v>451.0</v>
      </c>
      <c r="C512" s="2" t="s">
        <v>20</v>
      </c>
      <c r="D512" s="2">
        <v>0.0</v>
      </c>
      <c r="E512" s="2" t="s">
        <v>15</v>
      </c>
      <c r="F512" s="2" t="str">
        <f>IMAGE("https://mcgrathscove.ca/connor/isaaccostumes/451_tarotcloth_body0.png")</f>
        <v/>
      </c>
    </row>
    <row r="513" ht="37.5" customHeight="1">
      <c r="A513" s="4" t="s">
        <v>403</v>
      </c>
      <c r="B513" s="4">
        <v>452.0</v>
      </c>
      <c r="C513" s="4" t="s">
        <v>20</v>
      </c>
      <c r="D513" s="4">
        <v>0.0</v>
      </c>
      <c r="E513" s="4" t="s">
        <v>15</v>
      </c>
      <c r="F513" s="4" t="str">
        <f>IMAGE("https://mcgrathscove.ca/connor/isaaccostumes/452_varicoseveins_body0.png")</f>
        <v/>
      </c>
    </row>
    <row r="514" ht="37.5" customHeight="1">
      <c r="A514" s="2" t="s">
        <v>403</v>
      </c>
      <c r="B514" s="2">
        <v>452.0</v>
      </c>
      <c r="C514" s="2" t="s">
        <v>20</v>
      </c>
      <c r="D514" s="2">
        <v>0.0</v>
      </c>
      <c r="E514" s="2" t="s">
        <v>28</v>
      </c>
      <c r="F514" s="2" t="str">
        <f>IMAGE("https://mcgrathscove.ca/connor/isaaccostumes/452_varicoseveins_head1.png")</f>
        <v/>
      </c>
    </row>
    <row r="515" ht="37.5" customHeight="1">
      <c r="A515" s="4" t="s">
        <v>404</v>
      </c>
      <c r="B515" s="4">
        <v>453.0</v>
      </c>
      <c r="C515" s="4" t="s">
        <v>20</v>
      </c>
      <c r="D515" s="4">
        <v>0.0</v>
      </c>
      <c r="E515" s="4" t="s">
        <v>8</v>
      </c>
      <c r="F515" s="4" t="str">
        <f>IMAGE("https://mcgrathscove.ca/connor/isaaccostumes/453_compoundfracture_body.png")</f>
        <v/>
      </c>
    </row>
    <row r="516" ht="37.5" customHeight="1">
      <c r="A516" s="2" t="s">
        <v>405</v>
      </c>
      <c r="B516" s="2">
        <v>454.0</v>
      </c>
      <c r="C516" s="2" t="s">
        <v>20</v>
      </c>
      <c r="D516" s="2">
        <v>0.0</v>
      </c>
      <c r="E516" s="2" t="s">
        <v>8</v>
      </c>
      <c r="F516" s="2" t="str">
        <f>IMAGE("https://mcgrathscove.ca/connor/isaaccostumes/454_polydactyly_body.png")</f>
        <v/>
      </c>
    </row>
    <row r="517" ht="37.5" customHeight="1">
      <c r="A517" s="4" t="s">
        <v>406</v>
      </c>
      <c r="B517" s="4">
        <v>455.0</v>
      </c>
      <c r="C517" s="4" t="s">
        <v>20</v>
      </c>
      <c r="D517" s="4">
        <v>0.0</v>
      </c>
      <c r="E517" s="4" t="s">
        <v>41</v>
      </c>
      <c r="F517" s="4" t="str">
        <f>IMAGE("https://mcgrathscove.ca/connor/isaaccostumes/455_dadslostcoin_head2.png")</f>
        <v/>
      </c>
    </row>
    <row r="518" ht="37.5" customHeight="1">
      <c r="A518" s="2" t="s">
        <v>407</v>
      </c>
      <c r="B518" s="2">
        <v>457.0</v>
      </c>
      <c r="C518" s="2" t="s">
        <v>20</v>
      </c>
      <c r="D518" s="2">
        <v>0.0</v>
      </c>
      <c r="E518" s="2" t="s">
        <v>33</v>
      </c>
      <c r="F518" s="2" t="str">
        <f>IMAGE("https://mcgrathscove.ca/connor/isaaccostumes/457_conehead_head.png")</f>
        <v/>
      </c>
    </row>
    <row r="519" ht="37.5" customHeight="1">
      <c r="A519" s="4" t="s">
        <v>408</v>
      </c>
      <c r="B519" s="4">
        <v>458.0</v>
      </c>
      <c r="C519" s="4" t="s">
        <v>20</v>
      </c>
      <c r="D519" s="4">
        <v>0.0</v>
      </c>
      <c r="E519" s="4" t="s">
        <v>15</v>
      </c>
      <c r="F519" s="4" t="str">
        <f>IMAGE("https://mcgrathscove.ca/connor/isaaccostumes/458_bellybutton_body0.png")</f>
        <v/>
      </c>
    </row>
    <row r="520" ht="37.5" customHeight="1">
      <c r="A520" s="2" t="s">
        <v>409</v>
      </c>
      <c r="B520" s="2">
        <v>459.0</v>
      </c>
      <c r="C520" s="2" t="s">
        <v>20</v>
      </c>
      <c r="D520" s="2">
        <v>0.0</v>
      </c>
      <c r="E520" s="2" t="s">
        <v>28</v>
      </c>
      <c r="F520" s="2" t="str">
        <f>IMAGE("https://mcgrathscove.ca/connor/isaaccostumes/459_sinusinfection_head1.png")</f>
        <v/>
      </c>
    </row>
    <row r="521" ht="37.5" customHeight="1">
      <c r="A521" s="4" t="s">
        <v>410</v>
      </c>
      <c r="B521" s="4">
        <v>460.0</v>
      </c>
      <c r="C521" s="4" t="s">
        <v>20</v>
      </c>
      <c r="D521" s="4">
        <v>0.0</v>
      </c>
      <c r="E521" s="4" t="s">
        <v>41</v>
      </c>
      <c r="F521" s="4" t="str">
        <f>IMAGE("https://mcgrathscove.ca/connor/isaaccostumes/460_glaucoma_head2.png")</f>
        <v/>
      </c>
    </row>
    <row r="522" ht="37.5" customHeight="1">
      <c r="A522" s="2" t="s">
        <v>411</v>
      </c>
      <c r="B522" s="2">
        <v>461.0</v>
      </c>
      <c r="C522" s="2" t="s">
        <v>20</v>
      </c>
      <c r="D522" s="2">
        <v>0.0</v>
      </c>
      <c r="E522" s="2" t="s">
        <v>25</v>
      </c>
      <c r="F522" s="2" t="str">
        <f>IMAGE("https://mcgrathscove.ca/connor/isaaccostumes/461_parasitoid_head3.png")</f>
        <v/>
      </c>
    </row>
    <row r="523" ht="37.5" customHeight="1">
      <c r="A523" s="4" t="s">
        <v>412</v>
      </c>
      <c r="B523" s="4">
        <v>462.0</v>
      </c>
      <c r="C523" s="4" t="s">
        <v>20</v>
      </c>
      <c r="D523" s="4">
        <v>0.0</v>
      </c>
      <c r="E523" s="4" t="s">
        <v>28</v>
      </c>
      <c r="F523" s="4" t="str">
        <f>IMAGE("https://mcgrathscove.ca/connor/isaaccostumes/462_eyeofbelial_head1.png")</f>
        <v/>
      </c>
    </row>
    <row r="524" ht="37.5" customHeight="1">
      <c r="A524" s="2" t="s">
        <v>413</v>
      </c>
      <c r="B524" s="2">
        <v>463.0</v>
      </c>
      <c r="C524" s="2" t="s">
        <v>20</v>
      </c>
      <c r="D524" s="2">
        <v>0.0</v>
      </c>
      <c r="E524" s="2" t="s">
        <v>28</v>
      </c>
      <c r="F524" s="2" t="str">
        <f>IMAGE("https://mcgrathscove.ca/connor/isaaccostumes/463_sulphuricacid_head1.png")</f>
        <v/>
      </c>
    </row>
    <row r="525" ht="37.5" customHeight="1">
      <c r="A525" s="4" t="s">
        <v>414</v>
      </c>
      <c r="B525" s="4">
        <v>464.0</v>
      </c>
      <c r="C525" s="4" t="s">
        <v>20</v>
      </c>
      <c r="D525" s="4">
        <v>0.0</v>
      </c>
      <c r="E525" s="4" t="s">
        <v>66</v>
      </c>
      <c r="F525" s="4" t="str">
        <f>IMAGE("https://mcgrathscove.ca/connor/isaaccostumes/464_glyphofbalance_glow.png")</f>
        <v/>
      </c>
    </row>
    <row r="526" ht="37.5" customHeight="1">
      <c r="A526" s="2" t="s">
        <v>415</v>
      </c>
      <c r="B526" s="2">
        <v>465.0</v>
      </c>
      <c r="C526" s="2" t="s">
        <v>20</v>
      </c>
      <c r="D526" s="2">
        <v>0.0</v>
      </c>
      <c r="E526" s="2" t="s">
        <v>25</v>
      </c>
      <c r="F526" s="2" t="str">
        <f>IMAGE("https://mcgrathscove.ca/connor/isaaccostumes/465_analogstick_head3.png")</f>
        <v/>
      </c>
    </row>
    <row r="527" ht="37.5" customHeight="1">
      <c r="A527" s="4" t="s">
        <v>416</v>
      </c>
      <c r="B527" s="4">
        <v>466.0</v>
      </c>
      <c r="C527" s="4" t="s">
        <v>20</v>
      </c>
      <c r="D527" s="4">
        <v>0.0</v>
      </c>
      <c r="E527" s="4" t="s">
        <v>25</v>
      </c>
      <c r="F527" s="4" t="str">
        <f>IMAGE("https://mcgrathscove.ca/connor/isaaccostumes/466_contagion_head3.png")</f>
        <v/>
      </c>
    </row>
    <row r="528" ht="37.5" customHeight="1">
      <c r="A528" s="2" t="s">
        <v>417</v>
      </c>
      <c r="B528" s="2">
        <v>494.0</v>
      </c>
      <c r="C528" s="2" t="s">
        <v>20</v>
      </c>
      <c r="D528" s="2">
        <v>0.0</v>
      </c>
      <c r="E528" s="2" t="s">
        <v>43</v>
      </c>
      <c r="F528" s="2" t="str">
        <f>IMAGE("https://mcgrathscove.ca/connor/isaaccostumes/494_jacobsladder_head5.png")</f>
        <v/>
      </c>
    </row>
    <row r="529" ht="37.5" customHeight="1">
      <c r="A529" s="4" t="s">
        <v>418</v>
      </c>
      <c r="B529" s="4">
        <v>495.0</v>
      </c>
      <c r="C529" s="4" t="s">
        <v>20</v>
      </c>
      <c r="D529" s="4">
        <v>0.0</v>
      </c>
      <c r="E529" s="4" t="s">
        <v>28</v>
      </c>
      <c r="F529" s="4" t="str">
        <f>IMAGE("https://mcgrathscove.ca/connor/isaaccostumes/495_ghostpepper_head1.png")</f>
        <v/>
      </c>
    </row>
    <row r="530" ht="37.5" customHeight="1">
      <c r="A530" s="2" t="s">
        <v>419</v>
      </c>
      <c r="B530" s="2">
        <v>496.0</v>
      </c>
      <c r="C530" s="2" t="s">
        <v>20</v>
      </c>
      <c r="D530" s="2">
        <v>0.0</v>
      </c>
      <c r="E530" s="2" t="s">
        <v>33</v>
      </c>
      <c r="F530" s="2" t="str">
        <f>IMAGE("https://mcgrathscove.ca/connor/isaaccostumes/496_euthanasia_head.png")</f>
        <v/>
      </c>
    </row>
    <row r="531" ht="37.5" customHeight="1">
      <c r="A531" s="4" t="s">
        <v>420</v>
      </c>
      <c r="B531" s="4">
        <v>497.0</v>
      </c>
      <c r="C531" s="4" t="s">
        <v>20</v>
      </c>
      <c r="D531" s="4">
        <v>0.0</v>
      </c>
      <c r="E531" s="4" t="s">
        <v>15</v>
      </c>
      <c r="F531" s="4" t="str">
        <f>IMAGE("https://mcgrathscove.ca/connor/isaaccostumes/497_camoundies_body0.png")</f>
        <v/>
      </c>
    </row>
    <row r="532" ht="37.5" customHeight="1">
      <c r="A532" s="2" t="s">
        <v>421</v>
      </c>
      <c r="B532" s="2">
        <v>498.0</v>
      </c>
      <c r="C532" s="2" t="s">
        <v>20</v>
      </c>
      <c r="D532" s="2">
        <v>0.0</v>
      </c>
      <c r="E532" s="2" t="s">
        <v>66</v>
      </c>
      <c r="F532" s="2" t="str">
        <f>IMAGE("https://mcgrathscove.ca/connor/isaaccostumes/498_duality_glow.png")</f>
        <v/>
      </c>
    </row>
    <row r="533" ht="37.5" customHeight="1">
      <c r="A533" s="4" t="s">
        <v>422</v>
      </c>
      <c r="B533" s="4">
        <v>499.0</v>
      </c>
      <c r="C533" s="4" t="s">
        <v>20</v>
      </c>
      <c r="D533" s="4">
        <v>0.0</v>
      </c>
      <c r="E533" s="4" t="s">
        <v>28</v>
      </c>
      <c r="F533" s="4" t="str">
        <f>IMAGE("https://mcgrathscove.ca/connor/isaaccostumes/499_eucharist_head1.png")</f>
        <v/>
      </c>
    </row>
    <row r="534" ht="37.5" customHeight="1">
      <c r="A534" s="2" t="s">
        <v>423</v>
      </c>
      <c r="B534" s="2">
        <v>501.0</v>
      </c>
      <c r="C534" s="2" t="s">
        <v>20</v>
      </c>
      <c r="D534" s="2">
        <v>0.0</v>
      </c>
      <c r="E534" s="2" t="s">
        <v>44</v>
      </c>
      <c r="F534" s="2" t="str">
        <f>IMAGE("https://mcgrathscove.ca/connor/isaaccostumes/501_greedsgullet_body1.png")</f>
        <v/>
      </c>
    </row>
    <row r="535" ht="37.5" customHeight="1">
      <c r="A535" s="4" t="s">
        <v>424</v>
      </c>
      <c r="B535" s="4">
        <v>502.0</v>
      </c>
      <c r="C535" s="4" t="s">
        <v>20</v>
      </c>
      <c r="D535" s="4">
        <v>0.0</v>
      </c>
      <c r="E535" s="4" t="s">
        <v>28</v>
      </c>
      <c r="F535" s="4" t="str">
        <f>IMAGE("https://mcgrathscove.ca/connor/isaaccostumes/502_largezit_head1.png")</f>
        <v/>
      </c>
    </row>
    <row r="536" ht="37.5" customHeight="1">
      <c r="A536" s="2" t="s">
        <v>425</v>
      </c>
      <c r="B536" s="2">
        <v>503.0</v>
      </c>
      <c r="C536" s="2" t="s">
        <v>20</v>
      </c>
      <c r="D536" s="2">
        <v>0.0</v>
      </c>
      <c r="E536" s="2" t="s">
        <v>25</v>
      </c>
      <c r="F536" s="2" t="str">
        <f>IMAGE("https://mcgrathscove.ca/connor/isaaccostumes/503_littlehorn_head3.png")</f>
        <v/>
      </c>
    </row>
    <row r="537" ht="37.5" customHeight="1">
      <c r="A537" s="4" t="s">
        <v>426</v>
      </c>
      <c r="B537" s="4">
        <v>507.0</v>
      </c>
      <c r="C537" s="4" t="s">
        <v>20</v>
      </c>
      <c r="D537" s="4">
        <v>0.0</v>
      </c>
      <c r="E537" s="4" t="s">
        <v>41</v>
      </c>
      <c r="F537" s="4" t="str">
        <f>IMAGE("https://mcgrathscove.ca/connor/isaaccostumes/507_sharpstraw_head2.png")</f>
        <v/>
      </c>
    </row>
    <row r="538" ht="37.5" customHeight="1">
      <c r="A538" s="2" t="s">
        <v>427</v>
      </c>
      <c r="B538" s="2">
        <v>510.0</v>
      </c>
      <c r="C538" s="2" t="s">
        <v>91</v>
      </c>
      <c r="D538" s="2">
        <v>0.0</v>
      </c>
      <c r="E538" s="2" t="s">
        <v>33</v>
      </c>
      <c r="F538" s="2" t="str">
        <f>IMAGE("https://mcgrathscove.ca/connor/isaaccostumes/510_delirious_head.png")</f>
        <v/>
      </c>
    </row>
    <row r="539" ht="37.5" customHeight="1">
      <c r="A539" s="4" t="s">
        <v>427</v>
      </c>
      <c r="B539" s="4">
        <v>510.0</v>
      </c>
      <c r="C539" s="4" t="s">
        <v>91</v>
      </c>
      <c r="D539" s="4">
        <v>0.0</v>
      </c>
      <c r="E539" s="4" t="s">
        <v>8</v>
      </c>
      <c r="F539" s="4" t="str">
        <f>IMAGE("https://mcgrathscove.ca/connor/isaaccostumes/510_delirious_body.png")</f>
        <v/>
      </c>
    </row>
    <row r="540" ht="37.5" customHeight="1">
      <c r="A540" s="2" t="s">
        <v>428</v>
      </c>
      <c r="B540" s="2">
        <v>513.0</v>
      </c>
      <c r="C540" s="2" t="s">
        <v>20</v>
      </c>
      <c r="D540" s="2">
        <v>0.0</v>
      </c>
      <c r="E540" s="2" t="s">
        <v>42</v>
      </c>
      <c r="F540" s="2" t="str">
        <f>IMAGE("https://mcgrathscove.ca/connor/isaaccostumes/513_bozo_head4.png")</f>
        <v/>
      </c>
    </row>
    <row r="541" ht="37.5" customHeight="1">
      <c r="A541" s="4" t="s">
        <v>429</v>
      </c>
      <c r="B541" s="4">
        <v>514.0</v>
      </c>
      <c r="C541" s="4" t="s">
        <v>20</v>
      </c>
      <c r="D541" s="4">
        <v>0.0</v>
      </c>
      <c r="E541" s="4" t="s">
        <v>28</v>
      </c>
      <c r="F541" s="4" t="str">
        <f>IMAGE("https://mcgrathscove.ca/connor/isaaccostumes/514_modem_head1.png")</f>
        <v/>
      </c>
    </row>
    <row r="542" ht="37.5" customHeight="1">
      <c r="A542" s="2" t="s">
        <v>430</v>
      </c>
      <c r="B542" s="2">
        <v>517.0</v>
      </c>
      <c r="C542" s="2" t="s">
        <v>20</v>
      </c>
      <c r="D542" s="2">
        <v>0.0</v>
      </c>
      <c r="E542" s="2" t="s">
        <v>15</v>
      </c>
      <c r="F542" s="2" t="str">
        <f>IMAGE("https://mcgrathscove.ca/connor/isaaccostumes/517_fastbombs_body0.png")</f>
        <v/>
      </c>
    </row>
    <row r="543" ht="37.5" customHeight="1">
      <c r="A543" s="4" t="s">
        <v>431</v>
      </c>
      <c r="B543" s="4">
        <v>520.0</v>
      </c>
      <c r="C543" s="4" t="s">
        <v>20</v>
      </c>
      <c r="D543" s="4">
        <v>0.0</v>
      </c>
      <c r="E543" s="4" t="s">
        <v>42</v>
      </c>
      <c r="F543" s="4" t="str">
        <f>IMAGE("https://mcgrathscove.ca/connor/isaaccostumes/520_jumpercable_head4.png")</f>
        <v/>
      </c>
    </row>
    <row r="544" ht="37.5" customHeight="1">
      <c r="A544" s="2" t="s">
        <v>432</v>
      </c>
      <c r="B544" s="2">
        <v>524.0</v>
      </c>
      <c r="C544" s="2" t="s">
        <v>20</v>
      </c>
      <c r="D544" s="2">
        <v>0.0</v>
      </c>
      <c r="E544" s="2" t="s">
        <v>41</v>
      </c>
      <c r="F544" s="2" t="str">
        <f>IMAGE("https://mcgrathscove.ca/connor/isaaccostumes/524_technologyzero_head2.png")</f>
        <v/>
      </c>
    </row>
    <row r="545" ht="37.5" customHeight="1">
      <c r="A545" s="4" t="s">
        <v>433</v>
      </c>
      <c r="B545" s="4">
        <v>525.0</v>
      </c>
      <c r="C545" s="4" t="s">
        <v>20</v>
      </c>
      <c r="D545" s="4">
        <v>0.0</v>
      </c>
      <c r="E545" s="4" t="s">
        <v>33</v>
      </c>
      <c r="F545" s="4" t="str">
        <f>IMAGE("https://mcgrathscove.ca/connor/isaaccostumes/525_leprosy_head.png")</f>
        <v/>
      </c>
    </row>
    <row r="546" ht="37.5" customHeight="1">
      <c r="A546" s="2" t="s">
        <v>434</v>
      </c>
      <c r="B546" s="2">
        <v>529.0</v>
      </c>
      <c r="C546" s="2" t="s">
        <v>20</v>
      </c>
      <c r="D546" s="2">
        <v>0.0</v>
      </c>
      <c r="E546" s="2" t="s">
        <v>33</v>
      </c>
      <c r="F546" s="2" t="str">
        <f>IMAGE("https://mcgrathscove.ca/connor/isaaccostumes/529_pop_head.png")</f>
        <v/>
      </c>
    </row>
    <row r="547" ht="37.5" customHeight="1">
      <c r="A547" s="4" t="s">
        <v>435</v>
      </c>
      <c r="B547" s="4">
        <v>530.0</v>
      </c>
      <c r="C547" s="4" t="s">
        <v>20</v>
      </c>
      <c r="D547" s="4">
        <v>0.0</v>
      </c>
      <c r="E547" s="4" t="s">
        <v>15</v>
      </c>
      <c r="F547" s="4" t="str">
        <f>IMAGE("https://mcgrathscove.ca/connor/isaaccostumes/530_deathslist_body0.png")</f>
        <v/>
      </c>
    </row>
    <row r="548" ht="37.5" customHeight="1">
      <c r="A548" s="2" t="s">
        <v>436</v>
      </c>
      <c r="B548" s="2">
        <v>531.0</v>
      </c>
      <c r="C548" s="2" t="s">
        <v>20</v>
      </c>
      <c r="D548" s="2">
        <v>0.0</v>
      </c>
      <c r="E548" s="2" t="s">
        <v>41</v>
      </c>
      <c r="F548" s="2" t="str">
        <f>IMAGE("https://mcgrathscove.ca/connor/isaaccostumes/531_haemolacria_head2.png")</f>
        <v/>
      </c>
    </row>
    <row r="549" ht="37.5" customHeight="1">
      <c r="A549" s="4" t="s">
        <v>437</v>
      </c>
      <c r="B549" s="4">
        <v>532.0</v>
      </c>
      <c r="C549" s="4" t="s">
        <v>20</v>
      </c>
      <c r="D549" s="4">
        <v>0.0</v>
      </c>
      <c r="E549" s="4" t="s">
        <v>41</v>
      </c>
      <c r="F549" s="4" t="str">
        <f>IMAGE("https://mcgrathscove.ca/connor/isaaccostumes/532_lachryphagy_head2.png")</f>
        <v/>
      </c>
    </row>
    <row r="550" ht="37.5" customHeight="1">
      <c r="A550" s="2" t="s">
        <v>438</v>
      </c>
      <c r="B550" s="2">
        <v>533.0</v>
      </c>
      <c r="C550" s="2" t="s">
        <v>20</v>
      </c>
      <c r="D550" s="2">
        <v>0.0</v>
      </c>
      <c r="E550" s="2" t="s">
        <v>33</v>
      </c>
      <c r="F550" s="2" t="str">
        <f>IMAGE("https://mcgrathscove.ca/connor/isaaccostumes/533_trisagion_head.png")</f>
        <v/>
      </c>
    </row>
    <row r="551" ht="37.5" customHeight="1">
      <c r="A551" s="4" t="s">
        <v>439</v>
      </c>
      <c r="B551" s="4">
        <v>534.0</v>
      </c>
      <c r="C551" s="4" t="s">
        <v>20</v>
      </c>
      <c r="D551" s="4">
        <v>0.0</v>
      </c>
      <c r="E551" s="4" t="s">
        <v>8</v>
      </c>
      <c r="F551" s="4" t="str">
        <f>IMAGE("https://mcgrathscove.ca/connor/isaaccostumes/534_schoolbag_body.png")</f>
        <v/>
      </c>
    </row>
    <row r="552" ht="37.5" customHeight="1">
      <c r="A552" s="2" t="s">
        <v>440</v>
      </c>
      <c r="B552" s="2">
        <v>535.0</v>
      </c>
      <c r="C552" s="2" t="s">
        <v>20</v>
      </c>
      <c r="D552" s="2">
        <v>0.0</v>
      </c>
      <c r="E552" s="2" t="s">
        <v>15</v>
      </c>
      <c r="F552" s="2" t="str">
        <f>IMAGE("https://mcgrathscove.ca/connor/isaaccostumes/535_blanket_body0.png")</f>
        <v/>
      </c>
    </row>
    <row r="553" ht="37.5" customHeight="1">
      <c r="A553" s="4" t="s">
        <v>441</v>
      </c>
      <c r="B553" s="4">
        <v>540.0</v>
      </c>
      <c r="C553" s="4" t="s">
        <v>20</v>
      </c>
      <c r="D553" s="4">
        <v>0.0</v>
      </c>
      <c r="E553" s="4" t="s">
        <v>25</v>
      </c>
      <c r="F553" s="4" t="str">
        <f>IMAGE("https://mcgrathscove.ca/connor/isaaccostumes/540_flatstone_head3.png")</f>
        <v/>
      </c>
    </row>
    <row r="554" ht="37.5" customHeight="1">
      <c r="A554" s="2" t="s">
        <v>442</v>
      </c>
      <c r="B554" s="2">
        <v>541.0</v>
      </c>
      <c r="C554" s="2" t="s">
        <v>20</v>
      </c>
      <c r="D554" s="2">
        <v>0.0</v>
      </c>
      <c r="E554" s="2" t="s">
        <v>41</v>
      </c>
      <c r="F554" s="2" t="str">
        <f>IMAGE("https://mcgrathscove.ca/connor/isaaccostumes/541_marrow_head2.png")</f>
        <v/>
      </c>
    </row>
    <row r="555" ht="37.5" customHeight="1">
      <c r="A555" s="4" t="s">
        <v>443</v>
      </c>
      <c r="B555" s="4">
        <v>546.0</v>
      </c>
      <c r="C555" s="4" t="s">
        <v>20</v>
      </c>
      <c r="D555" s="4">
        <v>0.0</v>
      </c>
      <c r="E555" s="4" t="s">
        <v>15</v>
      </c>
      <c r="F555" s="4" t="str">
        <f>IMAGE("https://mcgrathscove.ca/connor/isaaccostumes/546_dadsring_body0.png")</f>
        <v/>
      </c>
    </row>
    <row r="556" ht="37.5" customHeight="1">
      <c r="A556" s="2" t="s">
        <v>444</v>
      </c>
      <c r="B556" s="2">
        <v>547.0</v>
      </c>
      <c r="C556" s="2" t="s">
        <v>20</v>
      </c>
      <c r="D556" s="2">
        <v>0.0</v>
      </c>
      <c r="E556" s="2" t="s">
        <v>28</v>
      </c>
      <c r="F556" s="2" t="str">
        <f>IMAGE("https://mcgrathscove.ca/connor/isaaccostumes/547_divorcepapers_head1.png")</f>
        <v/>
      </c>
    </row>
    <row r="557" ht="37.5" customHeight="1">
      <c r="A557" s="4" t="s">
        <v>445</v>
      </c>
      <c r="B557" s="4">
        <v>549.0</v>
      </c>
      <c r="C557" s="4" t="s">
        <v>20</v>
      </c>
      <c r="D557" s="4">
        <v>0.0</v>
      </c>
      <c r="E557" s="4" t="s">
        <v>8</v>
      </c>
      <c r="F557" s="4" t="str">
        <f>IMAGE("https://mcgrathscove.ca/connor/isaaccostumes/549_brittlebones_body.png")</f>
        <v/>
      </c>
    </row>
    <row r="558" ht="37.5" customHeight="1">
      <c r="A558" s="2" t="s">
        <v>446</v>
      </c>
      <c r="B558" s="2">
        <v>553.0</v>
      </c>
      <c r="C558" s="2" t="s">
        <v>20</v>
      </c>
      <c r="D558" s="2">
        <v>0.0</v>
      </c>
      <c r="E558" s="2" t="s">
        <v>41</v>
      </c>
      <c r="F558" s="2" t="str">
        <f>IMAGE("https://mcgrathscove.ca/connor/isaaccostumes/000x_mucormycosis_head2.png")</f>
        <v/>
      </c>
    </row>
    <row r="559" ht="37.5" customHeight="1">
      <c r="A559" s="4" t="s">
        <v>447</v>
      </c>
      <c r="B559" s="4">
        <v>554.0</v>
      </c>
      <c r="C559" s="4" t="s">
        <v>20</v>
      </c>
      <c r="D559" s="4">
        <v>20.0</v>
      </c>
      <c r="E559" s="4" t="s">
        <v>33</v>
      </c>
      <c r="F559" s="4" t="str">
        <f>IMAGE("https://mcgrathscove.ca/connor/isaaccostumes/001x_2spooky_head.png")</f>
        <v/>
      </c>
    </row>
    <row r="560" ht="37.5" customHeight="1">
      <c r="A560" s="2" t="s">
        <v>447</v>
      </c>
      <c r="B560" s="2">
        <v>554.0</v>
      </c>
      <c r="C560" s="2" t="s">
        <v>20</v>
      </c>
      <c r="D560" s="2">
        <v>20.0</v>
      </c>
      <c r="E560" s="2" t="s">
        <v>8</v>
      </c>
      <c r="F560" s="2" t="str">
        <f>IMAGE("https://mcgrathscove.ca/connor/isaaccostumes/001x_2spooky_body.png")</f>
        <v/>
      </c>
    </row>
    <row r="561" ht="37.5" customHeight="1">
      <c r="A561" s="4" t="s">
        <v>448</v>
      </c>
      <c r="B561" s="4">
        <v>558.0</v>
      </c>
      <c r="C561" s="4" t="s">
        <v>20</v>
      </c>
      <c r="D561" s="4">
        <v>0.0</v>
      </c>
      <c r="E561" s="4" t="s">
        <v>41</v>
      </c>
      <c r="F561" s="4" t="str">
        <f>IMAGE("https://mcgrathscove.ca/connor/isaaccostumes/005x_eyesore_head2.png")</f>
        <v/>
      </c>
    </row>
    <row r="562" ht="37.5" customHeight="1">
      <c r="A562" s="2" t="s">
        <v>449</v>
      </c>
      <c r="B562" s="2">
        <v>559.0</v>
      </c>
      <c r="C562" s="2" t="s">
        <v>20</v>
      </c>
      <c r="D562" s="2">
        <v>0.0</v>
      </c>
      <c r="E562" s="2" t="s">
        <v>42</v>
      </c>
      <c r="F562" s="2" t="str">
        <f>IMAGE("https://mcgrathscove.ca/connor/isaaccostumes/006x_120volt_head4.png")</f>
        <v/>
      </c>
    </row>
    <row r="563" ht="37.5" customHeight="1">
      <c r="A563" s="4" t="s">
        <v>450</v>
      </c>
      <c r="B563" s="4">
        <v>560.0</v>
      </c>
      <c r="C563" s="4" t="s">
        <v>20</v>
      </c>
      <c r="D563" s="4">
        <v>0.0</v>
      </c>
      <c r="E563" s="4" t="s">
        <v>28</v>
      </c>
      <c r="F563" s="4" t="str">
        <f>IMAGE("https://mcgrathscove.ca/connor/isaaccostumes/007x_ithurts_head1.png")</f>
        <v/>
      </c>
    </row>
    <row r="564" ht="37.5" customHeight="1">
      <c r="A564" s="2" t="s">
        <v>451</v>
      </c>
      <c r="B564" s="2">
        <v>561.0</v>
      </c>
      <c r="C564" s="2" t="s">
        <v>20</v>
      </c>
      <c r="D564" s="2">
        <v>0.0</v>
      </c>
      <c r="E564" s="2" t="s">
        <v>28</v>
      </c>
      <c r="F564" s="2" t="str">
        <f>IMAGE("https://mcgrathscove.ca/connor/isaaccostumes/008x_almondmilk_head1.png")</f>
        <v/>
      </c>
    </row>
    <row r="565" ht="37.5" customHeight="1">
      <c r="A565" s="4" t="s">
        <v>452</v>
      </c>
      <c r="B565" s="4">
        <v>562.0</v>
      </c>
      <c r="C565" s="4" t="s">
        <v>20</v>
      </c>
      <c r="D565" s="4">
        <v>0.0</v>
      </c>
      <c r="E565" s="4" t="s">
        <v>33</v>
      </c>
      <c r="F565" s="4" t="str">
        <f>IMAGE("https://mcgrathscove.ca/connor/isaaccostumes/009x_rockbottom_head.png")</f>
        <v/>
      </c>
    </row>
    <row r="566" ht="37.5" customHeight="1">
      <c r="A566" s="2" t="s">
        <v>453</v>
      </c>
      <c r="B566" s="2">
        <v>564.0</v>
      </c>
      <c r="C566" s="2" t="s">
        <v>20</v>
      </c>
      <c r="D566" s="2">
        <v>0.0</v>
      </c>
      <c r="E566" s="2" t="s">
        <v>33</v>
      </c>
      <c r="F566" s="2" t="str">
        <f>IMAGE("https://mcgrathscove.ca/connor/isaaccostumes/011x_soap_head.png")</f>
        <v/>
      </c>
    </row>
    <row r="567" ht="37.5" customHeight="1">
      <c r="A567" s="4" t="s">
        <v>453</v>
      </c>
      <c r="B567" s="4">
        <v>564.0</v>
      </c>
      <c r="C567" s="4" t="s">
        <v>20</v>
      </c>
      <c r="D567" s="4">
        <v>0.0</v>
      </c>
      <c r="E567" s="4" t="s">
        <v>42</v>
      </c>
      <c r="F567" s="4" t="str">
        <f>IMAGE("https://mcgrathscove.ca/connor/isaaccostumes/011x_soap_head4.png")</f>
        <v/>
      </c>
    </row>
    <row r="568" ht="37.5" customHeight="1">
      <c r="A568" s="2" t="s">
        <v>454</v>
      </c>
      <c r="B568" s="2">
        <v>570.0</v>
      </c>
      <c r="C568" s="2" t="s">
        <v>20</v>
      </c>
      <c r="D568" s="2">
        <v>0.0</v>
      </c>
      <c r="E568" s="2" t="s">
        <v>33</v>
      </c>
      <c r="F568" s="2" t="str">
        <f>IMAGE("https://mcgrathscove.ca/connor/isaaccostumes/017x_playdohcookie_head.png")</f>
        <v/>
      </c>
    </row>
    <row r="569" ht="37.5" customHeight="1">
      <c r="A569" s="4" t="s">
        <v>455</v>
      </c>
      <c r="B569" s="4">
        <v>571.0</v>
      </c>
      <c r="C569" s="4" t="s">
        <v>20</v>
      </c>
      <c r="D569" s="4">
        <v>0.0</v>
      </c>
      <c r="E569" s="4" t="s">
        <v>15</v>
      </c>
      <c r="F569" s="4" t="str">
        <f>IMAGE("https://mcgrathscove.ca/connor/isaaccostumes/018x_socks_body0.png")</f>
        <v/>
      </c>
    </row>
    <row r="570" ht="37.5" customHeight="1">
      <c r="A570" s="2" t="s">
        <v>456</v>
      </c>
      <c r="B570" s="2">
        <v>572.0</v>
      </c>
      <c r="C570" s="2" t="s">
        <v>20</v>
      </c>
      <c r="D570" s="2">
        <v>10.0</v>
      </c>
      <c r="E570" s="2" t="s">
        <v>41</v>
      </c>
      <c r="F570" s="2" t="str">
        <f>IMAGE("https://mcgrathscove.ca/connor/isaaccostumes/019x_occulteye_head2.png")</f>
        <v/>
      </c>
    </row>
    <row r="571" ht="37.5" customHeight="1">
      <c r="A571" s="4" t="s">
        <v>456</v>
      </c>
      <c r="B571" s="4">
        <v>572.0</v>
      </c>
      <c r="C571" s="4" t="s">
        <v>20</v>
      </c>
      <c r="D571" s="4">
        <v>10.0</v>
      </c>
      <c r="E571" s="4" t="s">
        <v>66</v>
      </c>
      <c r="F571" s="4" t="str">
        <f>IMAGE("https://mcgrathscove.ca/connor/isaaccostumes/019x_occulteye_glow.png")</f>
        <v/>
      </c>
    </row>
    <row r="572" ht="37.5" customHeight="1">
      <c r="A572" s="2" t="s">
        <v>457</v>
      </c>
      <c r="B572" s="2">
        <v>573.0</v>
      </c>
      <c r="C572" s="2" t="s">
        <v>20</v>
      </c>
      <c r="D572" s="2">
        <v>0.0</v>
      </c>
      <c r="E572" s="2" t="s">
        <v>8</v>
      </c>
      <c r="F572" s="2" t="str">
        <f>IMAGE("https://mcgrathscove.ca/connor/isaaccostumes/020x_immaculateheart_body.png")</f>
        <v/>
      </c>
    </row>
    <row r="573" ht="37.5" customHeight="1">
      <c r="A573" s="4" t="s">
        <v>457</v>
      </c>
      <c r="B573" s="4">
        <v>573.0</v>
      </c>
      <c r="C573" s="4" t="s">
        <v>20</v>
      </c>
      <c r="D573" s="4">
        <v>0.0</v>
      </c>
      <c r="E573" s="4" t="s">
        <v>66</v>
      </c>
      <c r="F573" s="4" t="str">
        <f>IMAGE("https://mcgrathscove.ca/connor/isaaccostumes/020x_immaculateheart_glow.png")</f>
        <v/>
      </c>
    </row>
    <row r="574" ht="37.5" customHeight="1">
      <c r="A574" s="2" t="s">
        <v>458</v>
      </c>
      <c r="B574" s="2">
        <v>574.0</v>
      </c>
      <c r="C574" s="2" t="s">
        <v>20</v>
      </c>
      <c r="D574" s="2">
        <v>1.0</v>
      </c>
      <c r="E574" s="2" t="s">
        <v>66</v>
      </c>
      <c r="F574" s="2" t="str">
        <f>IMAGE("https://mcgrathscove.ca/connor/isaaccostumes/021x_monstrance_glow.png")</f>
        <v/>
      </c>
    </row>
    <row r="575" ht="37.5" customHeight="1">
      <c r="A575" s="4" t="s">
        <v>459</v>
      </c>
      <c r="B575" s="4">
        <v>575.0</v>
      </c>
      <c r="C575" s="4" t="s">
        <v>224</v>
      </c>
      <c r="D575" s="4">
        <v>20.0</v>
      </c>
      <c r="E575" s="4" t="s">
        <v>33</v>
      </c>
      <c r="F575" s="4" t="str">
        <f>IMAGE("https://mcgrathscove.ca/connor/isaaccostumes/022x_theintruder_head.png")</f>
        <v/>
      </c>
    </row>
    <row r="576" ht="37.5" customHeight="1">
      <c r="A576" s="2" t="s">
        <v>460</v>
      </c>
      <c r="B576" s="2">
        <v>576.0</v>
      </c>
      <c r="C576" s="2" t="s">
        <v>20</v>
      </c>
      <c r="D576" s="2">
        <v>1.0</v>
      </c>
      <c r="E576" s="2" t="s">
        <v>15</v>
      </c>
      <c r="F576" s="2" t="str">
        <f>IMAGE("https://mcgrathscove.ca/connor/isaaccostumes/023x_dirtymind_body0.png")</f>
        <v/>
      </c>
    </row>
    <row r="577" ht="37.5" customHeight="1">
      <c r="A577" s="4" t="s">
        <v>461</v>
      </c>
      <c r="B577" s="4">
        <v>588.0</v>
      </c>
      <c r="C577" s="4" t="s">
        <v>20</v>
      </c>
      <c r="D577" s="4">
        <v>0.0</v>
      </c>
      <c r="E577" s="4" t="s">
        <v>66</v>
      </c>
      <c r="F577" s="4" t="str">
        <f>IMAGE("https://mcgrathscove.ca/connor/isaaccostumes/035x_sol_glow.png")</f>
        <v/>
      </c>
    </row>
    <row r="578" ht="37.5" customHeight="1">
      <c r="A578" s="2" t="s">
        <v>462</v>
      </c>
      <c r="B578" s="2">
        <v>589.0</v>
      </c>
      <c r="C578" s="2" t="s">
        <v>20</v>
      </c>
      <c r="D578" s="2">
        <v>0.0</v>
      </c>
      <c r="E578" s="2" t="s">
        <v>33</v>
      </c>
      <c r="F578" s="2" t="str">
        <f>IMAGE("https://mcgrathscove.ca/connor/isaaccostumes/036x_luna_head.png")</f>
        <v/>
      </c>
    </row>
    <row r="579" ht="37.5" customHeight="1">
      <c r="A579" s="4" t="s">
        <v>463</v>
      </c>
      <c r="B579" s="4">
        <v>590.0</v>
      </c>
      <c r="C579" s="4" t="s">
        <v>20</v>
      </c>
      <c r="D579" s="4">
        <v>0.0</v>
      </c>
      <c r="E579" s="4" t="s">
        <v>42</v>
      </c>
      <c r="F579" s="4" t="str">
        <f>IMAGE("https://mcgrathscove.ca/connor/isaaccostumes/037x_mercurius_head4.png")</f>
        <v/>
      </c>
    </row>
    <row r="580" ht="37.5" customHeight="1">
      <c r="A580" s="2" t="s">
        <v>464</v>
      </c>
      <c r="B580" s="2">
        <v>591.0</v>
      </c>
      <c r="C580" s="2" t="s">
        <v>20</v>
      </c>
      <c r="D580" s="2">
        <v>20.0</v>
      </c>
      <c r="E580" s="2" t="s">
        <v>28</v>
      </c>
      <c r="F580" s="2" t="str">
        <f>IMAGE("https://mcgrathscove.ca/connor/isaaccostumes/038x_venus_head1.png")</f>
        <v/>
      </c>
    </row>
    <row r="581" ht="37.5" customHeight="1">
      <c r="A581" s="4" t="s">
        <v>464</v>
      </c>
      <c r="B581" s="4">
        <v>591.0</v>
      </c>
      <c r="C581" s="4" t="s">
        <v>20</v>
      </c>
      <c r="D581" s="4">
        <v>20.0</v>
      </c>
      <c r="E581" s="4" t="s">
        <v>33</v>
      </c>
      <c r="F581" s="4" t="str">
        <f>IMAGE("https://mcgrathscove.ca/connor/isaaccostumes/038x_venus_head.png")</f>
        <v/>
      </c>
    </row>
    <row r="582" ht="37.5" customHeight="1">
      <c r="A582" s="2" t="s">
        <v>464</v>
      </c>
      <c r="B582" s="2">
        <v>591.0</v>
      </c>
      <c r="C582" s="2" t="s">
        <v>20</v>
      </c>
      <c r="D582" s="2">
        <v>20.0</v>
      </c>
      <c r="E582" s="2" t="s">
        <v>465</v>
      </c>
      <c r="F582" s="2" t="str">
        <f>IMAGE("https://mcgrathscove.ca/connor/isaaccostumes/038x_venus_back.png")</f>
        <v/>
      </c>
    </row>
    <row r="583" ht="37.5" customHeight="1">
      <c r="A583" s="4" t="s">
        <v>466</v>
      </c>
      <c r="B583" s="4">
        <v>592.0</v>
      </c>
      <c r="C583" s="4" t="s">
        <v>20</v>
      </c>
      <c r="D583" s="4">
        <v>1.0</v>
      </c>
      <c r="E583" s="4" t="s">
        <v>33</v>
      </c>
      <c r="F583" s="4" t="str">
        <f>IMAGE("https://mcgrathscove.ca/connor/isaaccostumes/039x_terra_head.png")</f>
        <v/>
      </c>
    </row>
    <row r="584" ht="37.5" customHeight="1">
      <c r="A584" s="2" t="s">
        <v>466</v>
      </c>
      <c r="B584" s="2">
        <v>592.0</v>
      </c>
      <c r="C584" s="2" t="s">
        <v>20</v>
      </c>
      <c r="D584" s="2">
        <v>1.0</v>
      </c>
      <c r="E584" s="2" t="s">
        <v>8</v>
      </c>
      <c r="F584" s="2" t="str">
        <f>IMAGE("https://mcgrathscove.ca/connor/isaaccostumes/039x_terra_body.png")</f>
        <v/>
      </c>
    </row>
    <row r="585" ht="37.5" customHeight="1">
      <c r="A585" s="4" t="s">
        <v>467</v>
      </c>
      <c r="B585" s="4">
        <v>593.0</v>
      </c>
      <c r="C585" s="4" t="s">
        <v>20</v>
      </c>
      <c r="D585" s="4">
        <v>1.0</v>
      </c>
      <c r="E585" s="4" t="s">
        <v>8</v>
      </c>
      <c r="F585" s="4" t="str">
        <f>IMAGE("https://mcgrathscove.ca/connor/isaaccostumes/040x_mars_body.png")</f>
        <v/>
      </c>
    </row>
    <row r="586" ht="37.5" customHeight="1">
      <c r="A586" s="2" t="s">
        <v>467</v>
      </c>
      <c r="B586" s="2">
        <v>593.0</v>
      </c>
      <c r="C586" s="2" t="s">
        <v>20</v>
      </c>
      <c r="D586" s="2">
        <v>1.0</v>
      </c>
      <c r="E586" s="2" t="s">
        <v>33</v>
      </c>
      <c r="F586" s="2" t="str">
        <f>IMAGE("https://mcgrathscove.ca/connor/isaaccostumes/040x_mars_head.png")</f>
        <v/>
      </c>
    </row>
    <row r="587" ht="37.5" customHeight="1">
      <c r="A587" s="4" t="s">
        <v>468</v>
      </c>
      <c r="B587" s="4">
        <v>594.0</v>
      </c>
      <c r="C587" s="4" t="s">
        <v>20</v>
      </c>
      <c r="D587" s="4">
        <v>1.0</v>
      </c>
      <c r="E587" s="4" t="s">
        <v>33</v>
      </c>
      <c r="F587" s="4" t="str">
        <f>IMAGE("https://mcgrathscove.ca/connor/isaaccostumes/041x_jupiter_head.png")</f>
        <v/>
      </c>
    </row>
    <row r="588" ht="37.5" customHeight="1">
      <c r="A588" s="2" t="s">
        <v>469</v>
      </c>
      <c r="B588" s="2">
        <v>596.0</v>
      </c>
      <c r="C588" s="2" t="s">
        <v>20</v>
      </c>
      <c r="D588" s="2">
        <v>1.0</v>
      </c>
      <c r="E588" s="2" t="s">
        <v>33</v>
      </c>
      <c r="F588" s="2" t="str">
        <f>IMAGE("https://mcgrathscove.ca/connor/isaaccostumes/043x_uranus_head.png")</f>
        <v/>
      </c>
    </row>
    <row r="589" ht="37.5" customHeight="1">
      <c r="A589" s="4" t="s">
        <v>469</v>
      </c>
      <c r="B589" s="4">
        <v>596.0</v>
      </c>
      <c r="C589" s="4" t="s">
        <v>20</v>
      </c>
      <c r="D589" s="4">
        <v>1.0</v>
      </c>
      <c r="E589" s="4" t="s">
        <v>8</v>
      </c>
      <c r="F589" s="4" t="str">
        <f>IMAGE("https://mcgrathscove.ca/connor/isaaccostumes/043x_uranus_body.png")</f>
        <v/>
      </c>
    </row>
    <row r="590" ht="37.5" customHeight="1">
      <c r="A590" s="2" t="s">
        <v>469</v>
      </c>
      <c r="B590" s="2">
        <v>596.0</v>
      </c>
      <c r="C590" s="2" t="s">
        <v>20</v>
      </c>
      <c r="D590" s="2">
        <v>1.0</v>
      </c>
      <c r="E590" s="2" t="s">
        <v>28</v>
      </c>
      <c r="F590" s="2" t="str">
        <f>IMAGE("https://mcgrathscove.ca/connor/isaaccostumes/043x_uranus_head1.png")</f>
        <v/>
      </c>
    </row>
    <row r="591" ht="37.5" customHeight="1">
      <c r="A591" s="4" t="s">
        <v>470</v>
      </c>
      <c r="B591" s="4">
        <v>597.0</v>
      </c>
      <c r="C591" s="4" t="s">
        <v>20</v>
      </c>
      <c r="D591" s="4">
        <v>22.0</v>
      </c>
      <c r="E591" s="4" t="s">
        <v>33</v>
      </c>
      <c r="F591" s="4" t="str">
        <f>IMAGE("https://mcgrathscove.ca/connor/isaaccostumes/044x_neptunus_head.png")</f>
        <v/>
      </c>
    </row>
    <row r="592" ht="37.5" customHeight="1">
      <c r="A592" s="2" t="s">
        <v>470</v>
      </c>
      <c r="B592" s="2">
        <v>597.0</v>
      </c>
      <c r="C592" s="2" t="s">
        <v>20</v>
      </c>
      <c r="D592" s="2">
        <v>22.0</v>
      </c>
      <c r="E592" s="2" t="s">
        <v>8</v>
      </c>
      <c r="F592" s="2" t="str">
        <f>IMAGE("https://mcgrathscove.ca/connor/isaaccostumes/044x_neptunus_body.png")</f>
        <v/>
      </c>
    </row>
    <row r="593" ht="37.5" customHeight="1">
      <c r="A593" s="4" t="s">
        <v>471</v>
      </c>
      <c r="B593" s="4">
        <v>599.0</v>
      </c>
      <c r="C593" s="4" t="s">
        <v>20</v>
      </c>
      <c r="D593" s="4">
        <v>0.0</v>
      </c>
      <c r="E593" s="4" t="s">
        <v>42</v>
      </c>
      <c r="F593" s="4" t="str">
        <f>IMAGE("https://mcgrathscove.ca/connor/isaaccostumes/046x_voodoohead_head4.png")</f>
        <v/>
      </c>
    </row>
    <row r="594" ht="37.5" customHeight="1">
      <c r="A594" s="2" t="s">
        <v>472</v>
      </c>
      <c r="B594" s="2">
        <v>600.0</v>
      </c>
      <c r="C594" s="2" t="s">
        <v>20</v>
      </c>
      <c r="D594" s="2">
        <v>0.0</v>
      </c>
      <c r="E594" s="2" t="s">
        <v>28</v>
      </c>
      <c r="F594" s="2" t="str">
        <f>IMAGE("https://mcgrathscove.ca/connor/isaaccostumes/047x_eyedrops_head1.png")</f>
        <v/>
      </c>
    </row>
    <row r="595" ht="37.5" customHeight="1">
      <c r="A595" s="4" t="s">
        <v>473</v>
      </c>
      <c r="B595" s="4">
        <v>601.0</v>
      </c>
      <c r="C595" s="4" t="s">
        <v>20</v>
      </c>
      <c r="D595" s="4">
        <v>0.0</v>
      </c>
      <c r="E595" s="4" t="s">
        <v>15</v>
      </c>
      <c r="F595" s="4" t="str">
        <f>IMAGE("https://mcgrathscove.ca/connor/isaaccostumes/048x_actofcontrition_body0.png")</f>
        <v/>
      </c>
    </row>
    <row r="596" ht="37.5" customHeight="1">
      <c r="A596" s="2" t="s">
        <v>473</v>
      </c>
      <c r="B596" s="2">
        <v>601.0</v>
      </c>
      <c r="C596" s="2" t="s">
        <v>20</v>
      </c>
      <c r="D596" s="2">
        <v>0.0</v>
      </c>
      <c r="E596" s="2" t="s">
        <v>66</v>
      </c>
      <c r="F596" s="2" t="str">
        <f>IMAGE("https://mcgrathscove.ca/connor/isaaccostumes/048x_actofcontrition_glow.png")</f>
        <v/>
      </c>
    </row>
    <row r="597" ht="37.5" customHeight="1">
      <c r="A597" s="4" t="s">
        <v>474</v>
      </c>
      <c r="B597" s="4">
        <v>602.0</v>
      </c>
      <c r="C597" s="4" t="s">
        <v>20</v>
      </c>
      <c r="D597" s="4">
        <v>0.0</v>
      </c>
      <c r="E597" s="4" t="s">
        <v>15</v>
      </c>
      <c r="F597" s="4" t="str">
        <f>IMAGE("https://mcgrathscove.ca/connor/isaaccostumes/049x_membercard_body0.png")</f>
        <v/>
      </c>
    </row>
    <row r="598" ht="37.5" customHeight="1">
      <c r="A598" s="2" t="s">
        <v>475</v>
      </c>
      <c r="B598" s="2">
        <v>603.0</v>
      </c>
      <c r="C598" s="2" t="s">
        <v>20</v>
      </c>
      <c r="D598" s="2">
        <v>0.0</v>
      </c>
      <c r="E598" s="2" t="s">
        <v>28</v>
      </c>
      <c r="F598" s="2" t="str">
        <f>IMAGE("https://mcgrathscove.ca/connor/isaaccostumes/050x_batterypack_head1.png")</f>
        <v/>
      </c>
    </row>
    <row r="599" ht="37.5" customHeight="1">
      <c r="A599" s="4" t="s">
        <v>476</v>
      </c>
      <c r="B599" s="4">
        <v>605.0</v>
      </c>
      <c r="C599" s="4" t="s">
        <v>91</v>
      </c>
      <c r="D599" s="4">
        <v>5.0</v>
      </c>
      <c r="E599" s="4" t="s">
        <v>41</v>
      </c>
      <c r="F599" s="4" t="str">
        <f>IMAGE("https://mcgrathscove.ca/connor/isaaccostumes/052x_thescooper_head2.png")</f>
        <v/>
      </c>
    </row>
    <row r="600" ht="37.5" customHeight="1">
      <c r="A600" s="2" t="s">
        <v>477</v>
      </c>
      <c r="B600" s="2">
        <v>606.0</v>
      </c>
      <c r="C600" s="2" t="s">
        <v>20</v>
      </c>
      <c r="D600" s="2">
        <v>0.0</v>
      </c>
      <c r="E600" s="2" t="s">
        <v>41</v>
      </c>
      <c r="F600" s="2" t="str">
        <f>IMAGE("https://mcgrathscove.ca/connor/isaaccostumes/053x_oculusrift_head2.png")</f>
        <v/>
      </c>
    </row>
    <row r="601" ht="37.5" customHeight="1">
      <c r="A601" s="4" t="s">
        <v>478</v>
      </c>
      <c r="B601" s="4">
        <v>610.0</v>
      </c>
      <c r="C601" s="4" t="s">
        <v>224</v>
      </c>
      <c r="D601" s="4">
        <v>1.0</v>
      </c>
      <c r="E601" s="4" t="s">
        <v>42</v>
      </c>
      <c r="F601" s="4" t="str">
        <f>IMAGE("https://mcgrathscove.ca/connor/isaaccostumes/057x_birdcage_head4.png")</f>
        <v/>
      </c>
    </row>
    <row r="602" ht="37.5" customHeight="1">
      <c r="A602" s="2" t="s">
        <v>479</v>
      </c>
      <c r="B602" s="2">
        <v>611.0</v>
      </c>
      <c r="C602" s="2" t="s">
        <v>91</v>
      </c>
      <c r="D602" s="2">
        <v>101.0</v>
      </c>
      <c r="E602" s="2" t="s">
        <v>33</v>
      </c>
      <c r="F602" s="2" t="str">
        <f>IMAGE("https://mcgrathscove.ca/connor/isaaccostumes/611_larynx_head.png")</f>
        <v/>
      </c>
    </row>
    <row r="603" ht="37.5" customHeight="1">
      <c r="A603" s="4" t="s">
        <v>480</v>
      </c>
      <c r="B603" s="4">
        <v>614.0</v>
      </c>
      <c r="C603" s="4" t="s">
        <v>20</v>
      </c>
      <c r="D603" s="4">
        <v>0.0</v>
      </c>
      <c r="E603" s="4" t="s">
        <v>15</v>
      </c>
      <c r="F603" s="4" t="str">
        <f>IMAGE("https://mcgrathscove.ca/connor/isaaccostumes/061x_bloodbombs_body0.png")</f>
        <v/>
      </c>
    </row>
    <row r="604" ht="37.5" customHeight="1">
      <c r="A604" s="2" t="s">
        <v>481</v>
      </c>
      <c r="B604" s="2">
        <v>616.0</v>
      </c>
      <c r="C604" s="2" t="s">
        <v>20</v>
      </c>
      <c r="D604" s="2">
        <v>0.0</v>
      </c>
      <c r="E604" s="2" t="s">
        <v>41</v>
      </c>
      <c r="F604" s="2" t="str">
        <f>IMAGE("https://mcgrathscove.ca/connor/isaaccostumes/063x_birdseye_head2.png")</f>
        <v/>
      </c>
    </row>
    <row r="605" ht="37.5" customHeight="1">
      <c r="A605" s="4" t="s">
        <v>482</v>
      </c>
      <c r="B605" s="4">
        <v>617.0</v>
      </c>
      <c r="C605" s="4" t="s">
        <v>20</v>
      </c>
      <c r="D605" s="4">
        <v>0.0</v>
      </c>
      <c r="E605" s="4" t="s">
        <v>25</v>
      </c>
      <c r="F605" s="4" t="str">
        <f>IMAGE("https://mcgrathscove.ca/connor/isaaccostumes/064x_lodestone_head3.png")</f>
        <v/>
      </c>
    </row>
    <row r="606" ht="37.5" customHeight="1">
      <c r="A606" s="2" t="s">
        <v>483</v>
      </c>
      <c r="B606" s="2">
        <v>618.0</v>
      </c>
      <c r="C606" s="2" t="s">
        <v>20</v>
      </c>
      <c r="D606" s="2">
        <v>0.0</v>
      </c>
      <c r="E606" s="2" t="s">
        <v>33</v>
      </c>
      <c r="F606" s="2" t="str">
        <f>IMAGE("https://mcgrathscove.ca/connor/isaaccostumes/065x_rottentomato_head.png")</f>
        <v/>
      </c>
    </row>
    <row r="607" ht="37.5" customHeight="1">
      <c r="A607" s="4" t="s">
        <v>483</v>
      </c>
      <c r="B607" s="4">
        <v>618.0</v>
      </c>
      <c r="C607" s="4" t="s">
        <v>20</v>
      </c>
      <c r="D607" s="4">
        <v>0.0</v>
      </c>
      <c r="E607" s="4" t="s">
        <v>28</v>
      </c>
      <c r="F607" s="4" t="str">
        <f>IMAGE("https://mcgrathscove.ca/connor/isaaccostumes/065x_rottentomato_head1.png")</f>
        <v/>
      </c>
    </row>
    <row r="608" ht="37.5" customHeight="1">
      <c r="A608" s="2" t="s">
        <v>484</v>
      </c>
      <c r="B608" s="2">
        <v>621.0</v>
      </c>
      <c r="C608" s="2" t="s">
        <v>20</v>
      </c>
      <c r="D608" s="2">
        <v>0.0</v>
      </c>
      <c r="E608" s="2" t="s">
        <v>28</v>
      </c>
      <c r="F608" s="2" t="str">
        <f>IMAGE("https://mcgrathscove.ca/connor/isaaccostumes/068x_redstew_head1.png")</f>
        <v/>
      </c>
    </row>
    <row r="609" ht="37.5" customHeight="1">
      <c r="A609" s="4" t="s">
        <v>485</v>
      </c>
      <c r="B609" s="4">
        <v>625.0</v>
      </c>
      <c r="C609" s="4" t="s">
        <v>91</v>
      </c>
      <c r="D609" s="4">
        <v>1000.0</v>
      </c>
      <c r="E609" s="4" t="s">
        <v>8</v>
      </c>
      <c r="F609" s="4" t="str">
        <f>IMAGE("https://mcgrathscove.ca/connor/isaaccostumes/big_isaac_body.png")</f>
        <v/>
      </c>
    </row>
    <row r="610" ht="37.5" customHeight="1">
      <c r="A610" s="2" t="s">
        <v>485</v>
      </c>
      <c r="B610" s="2">
        <v>625.0</v>
      </c>
      <c r="C610" s="2" t="s">
        <v>91</v>
      </c>
      <c r="D610" s="2">
        <v>1000.0</v>
      </c>
      <c r="E610" s="2" t="s">
        <v>33</v>
      </c>
      <c r="F610" s="2" t="str">
        <f>IMAGE("https://mcgrathscove.ca/connor/isaaccostumes/big_isaac_head.png")</f>
        <v/>
      </c>
    </row>
    <row r="611" ht="37.5" customHeight="1">
      <c r="A611" s="4" t="s">
        <v>485</v>
      </c>
      <c r="B611" s="4">
        <v>625.0</v>
      </c>
      <c r="C611" s="4" t="s">
        <v>91</v>
      </c>
      <c r="D611" s="4">
        <v>1000.0</v>
      </c>
      <c r="E611" s="4" t="s">
        <v>486</v>
      </c>
      <c r="F611" s="4" t="str">
        <f>IMAGE("https://mcgrathscove.ca/connor/isaaccostumes/big_isaac_extra.png")</f>
        <v/>
      </c>
    </row>
    <row r="612" ht="37.5" customHeight="1">
      <c r="A612" s="2" t="s">
        <v>487</v>
      </c>
      <c r="B612" s="2">
        <v>630.0</v>
      </c>
      <c r="C612" s="2" t="s">
        <v>20</v>
      </c>
      <c r="D612" s="2">
        <v>0.0</v>
      </c>
      <c r="E612" s="2" t="s">
        <v>28</v>
      </c>
      <c r="F612" s="2" t="str">
        <f>IMAGE("https://mcgrathscove.ca/connor/isaaccostumes/077x_lucky7_head1.png")</f>
        <v/>
      </c>
    </row>
    <row r="613" ht="37.5" customHeight="1">
      <c r="A613" s="4" t="s">
        <v>487</v>
      </c>
      <c r="B613" s="4">
        <v>630.0</v>
      </c>
      <c r="C613" s="4" t="s">
        <v>20</v>
      </c>
      <c r="D613" s="4">
        <v>0.0</v>
      </c>
      <c r="E613" s="4" t="s">
        <v>42</v>
      </c>
      <c r="F613" s="4" t="str">
        <f>IMAGE("https://mcgrathscove.ca/connor/isaaccostumes/077x_lucky7_head4.png")</f>
        <v/>
      </c>
    </row>
    <row r="614" ht="37.5" customHeight="1">
      <c r="A614" s="2" t="s">
        <v>488</v>
      </c>
      <c r="B614" s="2">
        <v>632.0</v>
      </c>
      <c r="C614" s="2" t="s">
        <v>20</v>
      </c>
      <c r="D614" s="2">
        <v>0.0</v>
      </c>
      <c r="E614" s="2" t="s">
        <v>15</v>
      </c>
      <c r="F614" s="2" t="str">
        <f>IMAGE("https://mcgrathscove.ca/connor/isaaccostumes/079x_evilcharm_body0.png")</f>
        <v/>
      </c>
    </row>
    <row r="615" ht="37.5" customHeight="1">
      <c r="A615" s="4" t="s">
        <v>489</v>
      </c>
      <c r="B615" s="4">
        <v>633.0</v>
      </c>
      <c r="C615" s="4" t="s">
        <v>20</v>
      </c>
      <c r="D615" s="4">
        <v>0.0</v>
      </c>
      <c r="E615" s="4" t="s">
        <v>8</v>
      </c>
      <c r="F615" s="4" t="str">
        <f>IMAGE("https://mcgrathscove.ca/connor/isaaccostumes/179_fate_body.png")</f>
        <v/>
      </c>
    </row>
    <row r="616" ht="37.5" customHeight="1">
      <c r="A616" s="2" t="s">
        <v>489</v>
      </c>
      <c r="B616" s="2">
        <v>633.0</v>
      </c>
      <c r="C616" s="2" t="s">
        <v>20</v>
      </c>
      <c r="D616" s="2">
        <v>0.0</v>
      </c>
      <c r="E616" s="2" t="s">
        <v>38</v>
      </c>
      <c r="F616" s="2" t="str">
        <f>IMAGE("https://mcgrathscove.ca/connor/isaaccostumes/179_fate_top0.png")</f>
        <v/>
      </c>
    </row>
    <row r="617" ht="37.5" customHeight="1">
      <c r="A617" s="4" t="s">
        <v>490</v>
      </c>
      <c r="B617" s="4">
        <v>637.0</v>
      </c>
      <c r="C617" s="4" t="s">
        <v>20</v>
      </c>
      <c r="D617" s="4">
        <v>0.0</v>
      </c>
      <c r="E617" s="4" t="s">
        <v>33</v>
      </c>
      <c r="F617" s="4" t="str">
        <f>IMAGE("https://mcgrathscove.ca/connor/isaaccostumes/084x_knockout_head.png")</f>
        <v/>
      </c>
    </row>
    <row r="618" ht="37.5" customHeight="1">
      <c r="A618" s="2" t="s">
        <v>491</v>
      </c>
      <c r="B618" s="2">
        <v>641.0</v>
      </c>
      <c r="C618" s="2" t="s">
        <v>20</v>
      </c>
      <c r="D618" s="2">
        <v>0.0</v>
      </c>
      <c r="E618" s="2" t="s">
        <v>15</v>
      </c>
      <c r="F618" s="2" t="str">
        <f>IMAGE("https://mcgrathscove.ca/connor/isaaccostumes/088x_akeldama_body0.png")</f>
        <v/>
      </c>
    </row>
    <row r="619" ht="37.5" customHeight="1">
      <c r="A619" s="4" t="s">
        <v>492</v>
      </c>
      <c r="B619" s="4">
        <v>643.0</v>
      </c>
      <c r="C619" s="4" t="s">
        <v>20</v>
      </c>
      <c r="D619" s="4">
        <v>0.0</v>
      </c>
      <c r="E619" s="4" t="s">
        <v>8</v>
      </c>
      <c r="F619" s="4" t="str">
        <f>IMAGE("https://mcgrathscove.ca/connor/isaaccostumes/090x_revelation_body.png")</f>
        <v/>
      </c>
    </row>
    <row r="620" ht="37.5" customHeight="1">
      <c r="A620" s="2" t="s">
        <v>492</v>
      </c>
      <c r="B620" s="2">
        <v>643.0</v>
      </c>
      <c r="C620" s="2" t="s">
        <v>20</v>
      </c>
      <c r="D620" s="2">
        <v>0.0</v>
      </c>
      <c r="E620" s="2" t="s">
        <v>38</v>
      </c>
      <c r="F620" s="2" t="str">
        <f>IMAGE("https://mcgrathscove.ca/connor/isaaccostumes/090x_revelation_top0.png")</f>
        <v/>
      </c>
    </row>
    <row r="621" ht="37.5" customHeight="1">
      <c r="A621" s="4" t="s">
        <v>492</v>
      </c>
      <c r="B621" s="4">
        <v>643.0</v>
      </c>
      <c r="C621" s="4" t="s">
        <v>20</v>
      </c>
      <c r="D621" s="4">
        <v>0.0</v>
      </c>
      <c r="E621" s="4" t="s">
        <v>33</v>
      </c>
      <c r="F621" s="4" t="str">
        <f>IMAGE("https://mcgrathscove.ca/connor/isaaccostumes/090x_revelation_head.png")</f>
        <v/>
      </c>
    </row>
    <row r="622" ht="37.5" customHeight="1">
      <c r="A622" s="2" t="s">
        <v>493</v>
      </c>
      <c r="B622" s="2">
        <v>644.0</v>
      </c>
      <c r="C622" s="2" t="s">
        <v>20</v>
      </c>
      <c r="D622" s="2">
        <v>0.0</v>
      </c>
      <c r="E622" s="2" t="s">
        <v>15</v>
      </c>
      <c r="F622" s="2" t="str">
        <f>IMAGE("https://mcgrathscove.ca/connor/isaaccostumes/091x_consolationprize_body0.png")</f>
        <v/>
      </c>
    </row>
    <row r="623" ht="37.5" customHeight="1">
      <c r="A623" s="4" t="s">
        <v>494</v>
      </c>
      <c r="B623" s="4">
        <v>647.0</v>
      </c>
      <c r="C623" s="4" t="s">
        <v>20</v>
      </c>
      <c r="D623" s="4">
        <v>0.0</v>
      </c>
      <c r="E623" s="4" t="s">
        <v>41</v>
      </c>
      <c r="F623" s="4" t="str">
        <f>IMAGE("https://mcgrathscove.ca/connor/isaaccostumes/094x_assaultbattery_head2.png")</f>
        <v/>
      </c>
    </row>
    <row r="624" ht="37.5" customHeight="1">
      <c r="A624" s="2" t="s">
        <v>495</v>
      </c>
      <c r="B624" s="2">
        <v>654.0</v>
      </c>
      <c r="C624" s="2" t="s">
        <v>20</v>
      </c>
      <c r="D624" s="2">
        <v>0.0</v>
      </c>
      <c r="E624" s="2" t="s">
        <v>33</v>
      </c>
      <c r="F624" s="2" t="str">
        <f>IMAGE("https://mcgrathscove.ca/connor/isaaccostumes/101x_falsephd_head.png")</f>
        <v/>
      </c>
    </row>
    <row r="625" ht="37.5" customHeight="1">
      <c r="A625" s="4" t="s">
        <v>495</v>
      </c>
      <c r="B625" s="4">
        <v>654.0</v>
      </c>
      <c r="C625" s="4" t="s">
        <v>20</v>
      </c>
      <c r="D625" s="4">
        <v>0.0</v>
      </c>
      <c r="E625" s="4" t="s">
        <v>41</v>
      </c>
      <c r="F625" s="4" t="str">
        <f>IMAGE("https://mcgrathscove.ca/connor/isaaccostumes/101x_falsephd_head2.png")</f>
        <v/>
      </c>
    </row>
    <row r="626" ht="37.5" customHeight="1">
      <c r="A626" s="2" t="s">
        <v>496</v>
      </c>
      <c r="B626" s="2">
        <v>657.0</v>
      </c>
      <c r="C626" s="2" t="s">
        <v>20</v>
      </c>
      <c r="D626" s="2">
        <v>0.0</v>
      </c>
      <c r="E626" s="2" t="s">
        <v>41</v>
      </c>
      <c r="F626" s="2" t="str">
        <f>IMAGE("https://mcgrathscove.ca/connor/isaaccostumes/104x_vasculitis_head2.png")</f>
        <v/>
      </c>
    </row>
    <row r="627" ht="37.5" customHeight="1">
      <c r="A627" s="4" t="s">
        <v>497</v>
      </c>
      <c r="B627" s="4">
        <v>658.0</v>
      </c>
      <c r="C627" s="4" t="s">
        <v>20</v>
      </c>
      <c r="D627" s="4">
        <v>0.0</v>
      </c>
      <c r="E627" s="4" t="s">
        <v>41</v>
      </c>
      <c r="F627" s="4" t="str">
        <f>IMAGE("https://mcgrathscove.ca/connor/isaaccostumes/105x_giantcell_head2.png")</f>
        <v/>
      </c>
    </row>
    <row r="628" ht="37.5" customHeight="1">
      <c r="A628" s="2" t="s">
        <v>498</v>
      </c>
      <c r="B628" s="2">
        <v>659.0</v>
      </c>
      <c r="C628" s="2" t="s">
        <v>20</v>
      </c>
      <c r="D628" s="2">
        <v>0.0</v>
      </c>
      <c r="E628" s="2" t="s">
        <v>41</v>
      </c>
      <c r="F628" s="2" t="str">
        <f>IMAGE("https://mcgrathscove.ca/connor/isaaccostumes/106x_tropicamide_head2.png")</f>
        <v/>
      </c>
    </row>
    <row r="629" ht="37.5" customHeight="1">
      <c r="A629" s="4" t="s">
        <v>499</v>
      </c>
      <c r="B629" s="4">
        <v>660.0</v>
      </c>
      <c r="C629" s="4" t="s">
        <v>20</v>
      </c>
      <c r="D629" s="4">
        <v>0.0</v>
      </c>
      <c r="E629" s="4" t="s">
        <v>25</v>
      </c>
      <c r="F629" s="4" t="str">
        <f>IMAGE("https://mcgrathscove.ca/connor/isaaccostumes/660_cardreading_head3.png")</f>
        <v/>
      </c>
    </row>
    <row r="630" ht="37.5" customHeight="1">
      <c r="A630" s="2" t="s">
        <v>500</v>
      </c>
      <c r="B630" s="2">
        <v>662.0</v>
      </c>
      <c r="C630" s="2" t="s">
        <v>20</v>
      </c>
      <c r="D630" s="2">
        <v>0.0</v>
      </c>
      <c r="E630" s="2" t="s">
        <v>15</v>
      </c>
      <c r="F630" s="2" t="str">
        <f>IMAGE("https://mcgrathscove.ca/connor/isaaccostumes/662_pacifist_body0.png")</f>
        <v/>
      </c>
    </row>
    <row r="631" ht="37.5" customHeight="1">
      <c r="A631" s="4" t="s">
        <v>501</v>
      </c>
      <c r="B631" s="4">
        <v>665.0</v>
      </c>
      <c r="C631" s="4" t="s">
        <v>20</v>
      </c>
      <c r="D631" s="4">
        <v>0.0</v>
      </c>
      <c r="E631" s="4" t="s">
        <v>41</v>
      </c>
      <c r="F631" s="4" t="str">
        <f>IMAGE("https://mcgrathscove.ca/connor/isaaccostumes/665_guppyseye_head2.png")</f>
        <v/>
      </c>
    </row>
    <row r="632" ht="37.5" customHeight="1">
      <c r="A632" s="2" t="s">
        <v>502</v>
      </c>
      <c r="B632" s="2">
        <v>669.0</v>
      </c>
      <c r="C632" s="2" t="s">
        <v>20</v>
      </c>
      <c r="D632" s="2">
        <v>0.0</v>
      </c>
      <c r="E632" s="2" t="s">
        <v>33</v>
      </c>
      <c r="F632" s="2" t="str">
        <f>IMAGE("https://mcgrathscove.ca/connor/isaaccostumes/069x_sausage_head.png")</f>
        <v/>
      </c>
    </row>
    <row r="633" ht="37.5" customHeight="1">
      <c r="A633" s="4" t="s">
        <v>503</v>
      </c>
      <c r="B633" s="4">
        <v>671.0</v>
      </c>
      <c r="C633" s="4" t="s">
        <v>20</v>
      </c>
      <c r="D633" s="4">
        <v>0.0</v>
      </c>
      <c r="E633" s="4" t="s">
        <v>8</v>
      </c>
      <c r="F633" s="4" t="str">
        <f>IMAGE("https://mcgrathscove.ca/connor/isaaccostumes/671_candyheart_body.png")</f>
        <v/>
      </c>
    </row>
    <row r="634" ht="37.5" customHeight="1">
      <c r="A634" s="2" t="s">
        <v>504</v>
      </c>
      <c r="B634" s="2">
        <v>672.0</v>
      </c>
      <c r="C634" s="2" t="s">
        <v>20</v>
      </c>
      <c r="D634" s="2">
        <v>0.0</v>
      </c>
      <c r="E634" s="2" t="s">
        <v>15</v>
      </c>
      <c r="F634" s="2" t="str">
        <f>IMAGE("https://mcgrathscove.ca/connor/isaaccostumes/672_poundofflesh_body0.png")</f>
        <v/>
      </c>
    </row>
    <row r="635" ht="37.5" customHeight="1">
      <c r="A635" s="4" t="s">
        <v>505</v>
      </c>
      <c r="B635" s="4">
        <v>674.0</v>
      </c>
      <c r="C635" s="4" t="s">
        <v>20</v>
      </c>
      <c r="D635" s="4">
        <v>10.0</v>
      </c>
      <c r="E635" s="4" t="s">
        <v>15</v>
      </c>
      <c r="F635" s="4" t="str">
        <f>IMAGE("https://mcgrathscove.ca/connor/isaaccostumes/674_spiritshackles2_body0.png")</f>
        <v/>
      </c>
    </row>
    <row r="636" ht="37.5" customHeight="1">
      <c r="A636" s="2" t="s">
        <v>506</v>
      </c>
      <c r="B636" s="2">
        <v>675.0</v>
      </c>
      <c r="C636" s="2" t="s">
        <v>20</v>
      </c>
      <c r="D636" s="2">
        <v>0.0</v>
      </c>
      <c r="E636" s="2" t="s">
        <v>28</v>
      </c>
      <c r="F636" s="2" t="str">
        <f>IMAGE("https://mcgrathscove.ca/connor/isaaccostumes/675_crackedorb_head1.png")</f>
        <v/>
      </c>
    </row>
    <row r="637" ht="37.5" customHeight="1">
      <c r="A637" s="4" t="s">
        <v>507</v>
      </c>
      <c r="B637" s="4">
        <v>677.0</v>
      </c>
      <c r="C637" s="4" t="s">
        <v>20</v>
      </c>
      <c r="D637" s="4">
        <v>1.0</v>
      </c>
      <c r="E637" s="4" t="s">
        <v>8</v>
      </c>
      <c r="F637" s="4" t="str">
        <f>IMAGE("https://mcgrathscove.ca/connor/isaaccostumes/677_astralprojection_body.png")</f>
        <v/>
      </c>
    </row>
    <row r="638" ht="37.5" customHeight="1">
      <c r="A638" s="2" t="s">
        <v>507</v>
      </c>
      <c r="B638" s="2">
        <v>677.0</v>
      </c>
      <c r="C638" s="2" t="s">
        <v>20</v>
      </c>
      <c r="D638" s="2">
        <v>1.0</v>
      </c>
      <c r="E638" s="2" t="s">
        <v>38</v>
      </c>
      <c r="F638" s="2" t="str">
        <f>IMAGE("https://mcgrathscove.ca/connor/isaaccostumes/677_astralprojection_top0.png")</f>
        <v/>
      </c>
    </row>
    <row r="639" ht="37.5" customHeight="1">
      <c r="A639" s="4" t="s">
        <v>508</v>
      </c>
      <c r="B639" s="4">
        <v>678.0</v>
      </c>
      <c r="C639" s="4" t="s">
        <v>20</v>
      </c>
      <c r="D639" s="4">
        <v>24.0</v>
      </c>
      <c r="E639" s="4" t="s">
        <v>8</v>
      </c>
      <c r="F639" s="4" t="str">
        <f>IMAGE("https://mcgrathscove.ca/connor/isaaccostumes/678_csection_body.png")</f>
        <v/>
      </c>
    </row>
    <row r="640" ht="37.5" customHeight="1">
      <c r="A640" s="2" t="s">
        <v>509</v>
      </c>
      <c r="B640" s="2">
        <v>680.0</v>
      </c>
      <c r="C640" s="2" t="s">
        <v>20</v>
      </c>
      <c r="D640" s="2">
        <v>0.0</v>
      </c>
      <c r="E640" s="2" t="s">
        <v>15</v>
      </c>
      <c r="F640" s="2" t="str">
        <f>IMAGE("https://mcgrathscove.ca/connor/isaaccostumes/680_montezuma_body0.png")</f>
        <v/>
      </c>
    </row>
    <row r="641" ht="37.5" customHeight="1">
      <c r="A641" s="4" t="s">
        <v>510</v>
      </c>
      <c r="B641" s="4">
        <v>686.0</v>
      </c>
      <c r="C641" s="4" t="s">
        <v>20</v>
      </c>
      <c r="D641" s="4">
        <v>0.0</v>
      </c>
      <c r="E641" s="4" t="s">
        <v>15</v>
      </c>
      <c r="F641" s="4" t="str">
        <f>IMAGE("https://mcgrathscove.ca/connor/isaaccostumes/686_soullocket_body0.png")</f>
        <v/>
      </c>
    </row>
    <row r="642" ht="37.5" customHeight="1">
      <c r="A642" s="2" t="s">
        <v>511</v>
      </c>
      <c r="B642" s="2">
        <v>688.0</v>
      </c>
      <c r="C642" s="2" t="s">
        <v>20</v>
      </c>
      <c r="D642" s="2">
        <v>10.0</v>
      </c>
      <c r="E642" s="2" t="s">
        <v>33</v>
      </c>
      <c r="F642" s="2" t="str">
        <f>IMAGE("https://mcgrathscove.ca/connor/isaaccostumes/045x_pluto_head.png")</f>
        <v/>
      </c>
    </row>
    <row r="643" ht="37.5" customHeight="1">
      <c r="A643" s="4" t="s">
        <v>511</v>
      </c>
      <c r="B643" s="4">
        <v>688.0</v>
      </c>
      <c r="C643" s="4" t="s">
        <v>20</v>
      </c>
      <c r="D643" s="4">
        <v>10.0</v>
      </c>
      <c r="E643" s="4" t="s">
        <v>8</v>
      </c>
      <c r="F643" s="4" t="str">
        <f>IMAGE("https://mcgrathscove.ca/connor/isaaccostumes/045x_pluto_body.png")</f>
        <v/>
      </c>
    </row>
    <row r="644" ht="37.5" customHeight="1">
      <c r="A644" s="2" t="s">
        <v>512</v>
      </c>
      <c r="B644" s="2">
        <v>690.0</v>
      </c>
      <c r="C644" s="2" t="s">
        <v>20</v>
      </c>
      <c r="D644" s="2">
        <v>0.0</v>
      </c>
      <c r="E644" s="2" t="s">
        <v>8</v>
      </c>
      <c r="F644" s="2" t="str">
        <f>IMAGE("https://mcgrathscove.ca/connor/isaaccostumes/129_bucket_of_lard_body.png")</f>
        <v/>
      </c>
    </row>
    <row r="645" ht="37.5" customHeight="1">
      <c r="A645" s="4" t="s">
        <v>513</v>
      </c>
      <c r="B645" s="4">
        <v>699.0</v>
      </c>
      <c r="C645" s="4" t="s">
        <v>20</v>
      </c>
      <c r="D645" s="4">
        <v>1.0</v>
      </c>
      <c r="E645" s="4" t="s">
        <v>25</v>
      </c>
      <c r="F645" s="4" t="str">
        <f>IMAGE("https://mcgrathscove.ca/connor/isaaccostumes/699_azazelsrage_head3.png")</f>
        <v/>
      </c>
    </row>
    <row r="646" ht="37.5" customHeight="1">
      <c r="A646" s="2" t="s">
        <v>514</v>
      </c>
      <c r="B646" s="2">
        <v>704.0</v>
      </c>
      <c r="C646" s="2" t="s">
        <v>91</v>
      </c>
      <c r="D646" s="2">
        <v>2.0</v>
      </c>
      <c r="E646" s="2" t="s">
        <v>33</v>
      </c>
      <c r="F646" s="2" t="str">
        <f>IMAGE("https://mcgrathscove.ca/connor/isaaccostumes/704_berserk_head.png")</f>
        <v/>
      </c>
    </row>
    <row r="647" ht="37.5" customHeight="1">
      <c r="A647" s="4" t="s">
        <v>515</v>
      </c>
      <c r="B647" s="4">
        <v>708.0</v>
      </c>
      <c r="C647" s="4" t="s">
        <v>20</v>
      </c>
      <c r="D647" s="4">
        <v>1.0</v>
      </c>
      <c r="E647" s="4" t="s">
        <v>28</v>
      </c>
      <c r="F647" s="4" t="str">
        <f>IMAGE("https://mcgrathscove.ca/connor/isaaccostumes/708_stapler_head1.png")</f>
        <v/>
      </c>
    </row>
    <row r="648" ht="37.5" customHeight="1">
      <c r="A648" s="2" t="s">
        <v>516</v>
      </c>
      <c r="B648" s="2">
        <v>730.0</v>
      </c>
      <c r="C648" s="2" t="s">
        <v>20</v>
      </c>
      <c r="D648" s="2">
        <v>0.0</v>
      </c>
      <c r="E648" s="2" t="s">
        <v>41</v>
      </c>
      <c r="F648" s="2" t="str">
        <f>IMAGE("https://mcgrathscove.ca/connor/isaaccostumes/730_glasseye_head2.png")</f>
        <v/>
      </c>
    </row>
    <row r="649" ht="37.5" customHeight="1">
      <c r="A649" s="4" t="s">
        <v>517</v>
      </c>
      <c r="B649" s="4">
        <v>731.0</v>
      </c>
      <c r="C649" s="4" t="s">
        <v>20</v>
      </c>
      <c r="D649" s="4">
        <v>1.0</v>
      </c>
      <c r="E649" s="4" t="s">
        <v>28</v>
      </c>
      <c r="F649" s="4" t="str">
        <f>IMAGE("https://mcgrathscove.ca/connor/isaaccostumes/731_stye_head1.png")</f>
        <v/>
      </c>
    </row>
    <row r="650" ht="37.5" customHeight="1">
      <c r="A650" s="2" t="s">
        <v>518</v>
      </c>
      <c r="B650" s="2">
        <v>732.0</v>
      </c>
      <c r="C650" s="2" t="s">
        <v>20</v>
      </c>
      <c r="D650" s="2">
        <v>0.0</v>
      </c>
      <c r="E650" s="2" t="s">
        <v>8</v>
      </c>
      <c r="F650" s="2" t="str">
        <f>IMAGE("https://mcgrathscove.ca/connor/isaaccostumes/732_momsring_body.png")</f>
        <v/>
      </c>
    </row>
  </sheetData>
  <autoFilter ref="$A$1:$F$650">
    <sortState ref="A1:F650">
      <sortCondition ref="B1:B650"/>
      <sortCondition ref="A1:A650"/>
    </sortState>
  </autoFilter>
  <customSheetViews>
    <customSheetView guid="{3DD33D90-292E-4D22-A84B-590EC0FB1241}" filter="1" showAutoFilter="1">
      <autoFilter ref="$A$1:$F$650">
        <sortState ref="A1:F650">
          <sortCondition descending="1" ref="D1:D650"/>
        </sortState>
      </autoFilter>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5.13"/>
    <col customWidth="1" min="3" max="3" width="7.25"/>
    <col customWidth="1" min="4" max="4" width="9.38"/>
    <col customWidth="1" min="5" max="5" width="8.0"/>
    <col customWidth="1" min="6" max="6" width="25.13"/>
  </cols>
  <sheetData>
    <row r="1" ht="37.5" customHeight="1">
      <c r="A1" s="7" t="s">
        <v>0</v>
      </c>
      <c r="B1" s="7" t="s">
        <v>1</v>
      </c>
      <c r="C1" s="7" t="s">
        <v>2</v>
      </c>
      <c r="D1" s="7" t="s">
        <v>3</v>
      </c>
      <c r="E1" s="7" t="s">
        <v>4</v>
      </c>
      <c r="F1" s="7" t="s">
        <v>5</v>
      </c>
    </row>
    <row r="2" ht="37.5" customHeight="1">
      <c r="A2" s="8" t="str">
        <f>IFERROR(__xludf.DUMMYFUNCTION("FILTER('All Costumes'!A2:F645, 'All Costumes'!E2:E645=""glow"")"),"n017_purity glow.anm2")</f>
        <v>n017_purity glow.anm2</v>
      </c>
      <c r="B2" s="8">
        <f>IFERROR(__xludf.DUMMYFUNCTION("""COMPUTED_VALUE"""),17.0)</f>
        <v>17</v>
      </c>
      <c r="C2" s="8" t="str">
        <f>IFERROR(__xludf.DUMMYFUNCTION("""COMPUTED_VALUE"""),"none")</f>
        <v>none</v>
      </c>
      <c r="D2" s="8">
        <f>IFERROR(__xludf.DUMMYFUNCTION("""COMPUTED_VALUE"""),2.0)</f>
        <v>2</v>
      </c>
      <c r="E2" s="8" t="str">
        <f>IFERROR(__xludf.DUMMYFUNCTION("""COMPUTED_VALUE"""),"glow")</f>
        <v>glow</v>
      </c>
      <c r="F2" s="8" t="str">
        <f>IFERROR(__xludf.DUMMYFUNCTION("""COMPUTED_VALUE"""),"")</f>
        <v/>
      </c>
    </row>
    <row r="3" ht="37.5" customHeight="1">
      <c r="A3" s="8" t="str">
        <f>IFERROR(__xludf.DUMMYFUNCTION("""COMPUTED_VALUE"""),"016x_bloodoath.anm2")</f>
        <v>016x_bloodoath.anm2</v>
      </c>
      <c r="B3" s="8">
        <f>IFERROR(__xludf.DUMMYFUNCTION("""COMPUTED_VALUE"""),54.0)</f>
        <v>54</v>
      </c>
      <c r="C3" s="8" t="str">
        <f>IFERROR(__xludf.DUMMYFUNCTION("""COMPUTED_VALUE"""),"none")</f>
        <v>none</v>
      </c>
      <c r="D3" s="8">
        <f>IFERROR(__xludf.DUMMYFUNCTION("""COMPUTED_VALUE"""),0.0)</f>
        <v>0</v>
      </c>
      <c r="E3" s="8" t="str">
        <f>IFERROR(__xludf.DUMMYFUNCTION("""COMPUTED_VALUE"""),"glow")</f>
        <v>glow</v>
      </c>
      <c r="F3" s="8" t="str">
        <f>IFERROR(__xludf.DUMMYFUNCTION("""COMPUTED_VALUE"""),"")</f>
        <v/>
      </c>
    </row>
    <row r="4" ht="37.5" customHeight="1">
      <c r="A4" s="8" t="str">
        <f>IFERROR(__xludf.DUMMYFUNCTION("""COMPUTED_VALUE"""),"035x_sol2.anm2")</f>
        <v>035x_sol2.anm2</v>
      </c>
      <c r="B4" s="8">
        <f>IFERROR(__xludf.DUMMYFUNCTION("""COMPUTED_VALUE"""),56.0)</f>
        <v>56</v>
      </c>
      <c r="C4" s="8" t="str">
        <f>IFERROR(__xludf.DUMMYFUNCTION("""COMPUTED_VALUE"""),"none")</f>
        <v>none</v>
      </c>
      <c r="D4" s="8">
        <f>IFERROR(__xludf.DUMMYFUNCTION("""COMPUTED_VALUE"""),10.0)</f>
        <v>10</v>
      </c>
      <c r="E4" s="8" t="str">
        <f>IFERROR(__xludf.DUMMYFUNCTION("""COMPUTED_VALUE"""),"glow")</f>
        <v>glow</v>
      </c>
      <c r="F4" s="8" t="str">
        <f>IFERROR(__xludf.DUMMYFUNCTION("""COMPUTED_VALUE"""),"")</f>
        <v/>
      </c>
    </row>
    <row r="5" ht="37.5" customHeight="1">
      <c r="A5" s="8" t="str">
        <f>IFERROR(__xludf.DUMMYFUNCTION("""COMPUTED_VALUE"""),"091_spelunker hat.anm2")</f>
        <v>091_spelunker hat.anm2</v>
      </c>
      <c r="B5" s="8">
        <f>IFERROR(__xludf.DUMMYFUNCTION("""COMPUTED_VALUE"""),91.0)</f>
        <v>91</v>
      </c>
      <c r="C5" s="8" t="str">
        <f>IFERROR(__xludf.DUMMYFUNCTION("""COMPUTED_VALUE"""),"passive")</f>
        <v>passive</v>
      </c>
      <c r="D5" s="8">
        <f>IFERROR(__xludf.DUMMYFUNCTION("""COMPUTED_VALUE"""),0.0)</f>
        <v>0</v>
      </c>
      <c r="E5" s="8" t="str">
        <f>IFERROR(__xludf.DUMMYFUNCTION("""COMPUTED_VALUE"""),"glow")</f>
        <v>glow</v>
      </c>
      <c r="F5" s="8" t="str">
        <f>IFERROR(__xludf.DUMMYFUNCTION("""COMPUTED_VALUE"""),"")</f>
        <v/>
      </c>
    </row>
    <row r="6" ht="37.5" customHeight="1">
      <c r="A6" s="8" t="str">
        <f>IFERROR(__xludf.DUMMYFUNCTION("""COMPUTED_VALUE"""),"108_the wafer.anm2")</f>
        <v>108_the wafer.anm2</v>
      </c>
      <c r="B6" s="8">
        <f>IFERROR(__xludf.DUMMYFUNCTION("""COMPUTED_VALUE"""),108.0)</f>
        <v>108</v>
      </c>
      <c r="C6" s="8" t="str">
        <f>IFERROR(__xludf.DUMMYFUNCTION("""COMPUTED_VALUE"""),"passive")</f>
        <v>passive</v>
      </c>
      <c r="D6" s="8">
        <f>IFERROR(__xludf.DUMMYFUNCTION("""COMPUTED_VALUE"""),0.0)</f>
        <v>0</v>
      </c>
      <c r="E6" s="8" t="str">
        <f>IFERROR(__xludf.DUMMYFUNCTION("""COMPUTED_VALUE"""),"glow")</f>
        <v>glow</v>
      </c>
      <c r="F6" s="8" t="str">
        <f>IFERROR(__xludf.DUMMYFUNCTION("""COMPUTED_VALUE"""),"")</f>
        <v/>
      </c>
    </row>
    <row r="7" ht="37.5" customHeight="1">
      <c r="A7" s="8" t="str">
        <f>IFERROR(__xludf.DUMMYFUNCTION("""COMPUTED_VALUE"""),"142_scapular.anm2")</f>
        <v>142_scapular.anm2</v>
      </c>
      <c r="B7" s="8">
        <f>IFERROR(__xludf.DUMMYFUNCTION("""COMPUTED_VALUE"""),142.0)</f>
        <v>142</v>
      </c>
      <c r="C7" s="8" t="str">
        <f>IFERROR(__xludf.DUMMYFUNCTION("""COMPUTED_VALUE"""),"passive")</f>
        <v>passive</v>
      </c>
      <c r="D7" s="8">
        <f>IFERROR(__xludf.DUMMYFUNCTION("""COMPUTED_VALUE"""),0.0)</f>
        <v>0</v>
      </c>
      <c r="E7" s="8" t="str">
        <f>IFERROR(__xludf.DUMMYFUNCTION("""COMPUTED_VALUE"""),"glow")</f>
        <v>glow</v>
      </c>
      <c r="F7" s="8" t="str">
        <f>IFERROR(__xludf.DUMMYFUNCTION("""COMPUTED_VALUE"""),"")</f>
        <v/>
      </c>
    </row>
    <row r="8" ht="37.5" customHeight="1">
      <c r="A8" s="8" t="str">
        <f>IFERROR(__xludf.DUMMYFUNCTION("""COMPUTED_VALUE"""),"162_celtic cross.anm2")</f>
        <v>162_celtic cross.anm2</v>
      </c>
      <c r="B8" s="8">
        <f>IFERROR(__xludf.DUMMYFUNCTION("""COMPUTED_VALUE"""),162.0)</f>
        <v>162</v>
      </c>
      <c r="C8" s="8" t="str">
        <f>IFERROR(__xludf.DUMMYFUNCTION("""COMPUTED_VALUE"""),"passive")</f>
        <v>passive</v>
      </c>
      <c r="D8" s="8">
        <f>IFERROR(__xludf.DUMMYFUNCTION("""COMPUTED_VALUE"""),0.0)</f>
        <v>0</v>
      </c>
      <c r="E8" s="8" t="str">
        <f>IFERROR(__xludf.DUMMYFUNCTION("""COMPUTED_VALUE"""),"glow")</f>
        <v>glow</v>
      </c>
      <c r="F8" s="8" t="str">
        <f>IFERROR(__xludf.DUMMYFUNCTION("""COMPUTED_VALUE"""),"")</f>
        <v/>
      </c>
    </row>
    <row r="9" ht="37.5" customHeight="1">
      <c r="A9" s="8" t="str">
        <f>IFERROR(__xludf.DUMMYFUNCTION("""COMPUTED_VALUE"""),"173_mitre.anm2")</f>
        <v>173_mitre.anm2</v>
      </c>
      <c r="B9" s="8">
        <f>IFERROR(__xludf.DUMMYFUNCTION("""COMPUTED_VALUE"""),173.0)</f>
        <v>173</v>
      </c>
      <c r="C9" s="8" t="str">
        <f>IFERROR(__xludf.DUMMYFUNCTION("""COMPUTED_VALUE"""),"passive")</f>
        <v>passive</v>
      </c>
      <c r="D9" s="8">
        <f>IFERROR(__xludf.DUMMYFUNCTION("""COMPUTED_VALUE"""),0.0)</f>
        <v>0</v>
      </c>
      <c r="E9" s="8" t="str">
        <f>IFERROR(__xludf.DUMMYFUNCTION("""COMPUTED_VALUE"""),"glow")</f>
        <v>glow</v>
      </c>
      <c r="F9" s="8" t="str">
        <f>IFERROR(__xludf.DUMMYFUNCTION("""COMPUTED_VALUE"""),"")</f>
        <v/>
      </c>
    </row>
    <row r="10" ht="37.5" customHeight="1">
      <c r="A10" s="8" t="str">
        <f>IFERROR(__xludf.DUMMYFUNCTION("""COMPUTED_VALUE"""),"184_holy grail.anm2")</f>
        <v>184_holy grail.anm2</v>
      </c>
      <c r="B10" s="8">
        <f>IFERROR(__xludf.DUMMYFUNCTION("""COMPUTED_VALUE"""),184.0)</f>
        <v>184</v>
      </c>
      <c r="C10" s="8" t="str">
        <f>IFERROR(__xludf.DUMMYFUNCTION("""COMPUTED_VALUE"""),"passive")</f>
        <v>passive</v>
      </c>
      <c r="D10" s="8">
        <f>IFERROR(__xludf.DUMMYFUNCTION("""COMPUTED_VALUE"""),0.0)</f>
        <v>0</v>
      </c>
      <c r="E10" s="8" t="str">
        <f>IFERROR(__xludf.DUMMYFUNCTION("""COMPUTED_VALUE"""),"glow")</f>
        <v>glow</v>
      </c>
      <c r="F10" s="8" t="str">
        <f>IFERROR(__xludf.DUMMYFUNCTION("""COMPUTED_VALUE"""),"")</f>
        <v/>
      </c>
    </row>
    <row r="11" ht="37.5" customHeight="1">
      <c r="A11" s="8" t="str">
        <f>IFERROR(__xludf.DUMMYFUNCTION("""COMPUTED_VALUE"""),"256_hotbombs.anm2")</f>
        <v>256_hotbombs.anm2</v>
      </c>
      <c r="B11" s="8">
        <f>IFERROR(__xludf.DUMMYFUNCTION("""COMPUTED_VALUE"""),256.0)</f>
        <v>256</v>
      </c>
      <c r="C11" s="8" t="str">
        <f>IFERROR(__xludf.DUMMYFUNCTION("""COMPUTED_VALUE"""),"passive")</f>
        <v>passive</v>
      </c>
      <c r="D11" s="8">
        <f>IFERROR(__xludf.DUMMYFUNCTION("""COMPUTED_VALUE"""),0.0)</f>
        <v>0</v>
      </c>
      <c r="E11" s="8" t="str">
        <f>IFERROR(__xludf.DUMMYFUNCTION("""COMPUTED_VALUE"""),"glow")</f>
        <v>glow</v>
      </c>
      <c r="F11" s="8" t="str">
        <f>IFERROR(__xludf.DUMMYFUNCTION("""COMPUTED_VALUE"""),"")</f>
        <v/>
      </c>
    </row>
    <row r="12" ht="37.5" customHeight="1">
      <c r="A12" s="8" t="str">
        <f>IFERROR(__xludf.DUMMYFUNCTION("""COMPUTED_VALUE"""),"262_missingpage2.anm2")</f>
        <v>262_missingpage2.anm2</v>
      </c>
      <c r="B12" s="8">
        <f>IFERROR(__xludf.DUMMYFUNCTION("""COMPUTED_VALUE"""),262.0)</f>
        <v>262</v>
      </c>
      <c r="C12" s="8" t="str">
        <f>IFERROR(__xludf.DUMMYFUNCTION("""COMPUTED_VALUE"""),"passive")</f>
        <v>passive</v>
      </c>
      <c r="D12" s="8">
        <f>IFERROR(__xludf.DUMMYFUNCTION("""COMPUTED_VALUE"""),0.0)</f>
        <v>0</v>
      </c>
      <c r="E12" s="8" t="str">
        <f>IFERROR(__xludf.DUMMYFUNCTION("""COMPUTED_VALUE"""),"glow")</f>
        <v>glow</v>
      </c>
      <c r="F12" s="8" t="str">
        <f>IFERROR(__xludf.DUMMYFUNCTION("""COMPUTED_VALUE"""),"")</f>
        <v/>
      </c>
    </row>
    <row r="13" ht="37.5" customHeight="1">
      <c r="A13" s="8" t="str">
        <f>IFERROR(__xludf.DUMMYFUNCTION("""COMPUTED_VALUE"""),"313_holymantle.anm2")</f>
        <v>313_holymantle.anm2</v>
      </c>
      <c r="B13" s="8">
        <f>IFERROR(__xludf.DUMMYFUNCTION("""COMPUTED_VALUE"""),313.0)</f>
        <v>313</v>
      </c>
      <c r="C13" s="8" t="str">
        <f>IFERROR(__xludf.DUMMYFUNCTION("""COMPUTED_VALUE"""),"passive")</f>
        <v>passive</v>
      </c>
      <c r="D13" s="8">
        <f>IFERROR(__xludf.DUMMYFUNCTION("""COMPUTED_VALUE"""),0.0)</f>
        <v>0</v>
      </c>
      <c r="E13" s="8" t="str">
        <f>IFERROR(__xludf.DUMMYFUNCTION("""COMPUTED_VALUE"""),"glow")</f>
        <v>glow</v>
      </c>
      <c r="F13" s="8" t="str">
        <f>IFERROR(__xludf.DUMMYFUNCTION("""COMPUTED_VALUE"""),"")</f>
        <v/>
      </c>
    </row>
    <row r="14" ht="37.5" customHeight="1">
      <c r="A14" s="8" t="str">
        <f>IFERROR(__xludf.DUMMYFUNCTION("""COMPUTED_VALUE"""),"317_mysteriousliquid.anm2")</f>
        <v>317_mysteriousliquid.anm2</v>
      </c>
      <c r="B14" s="8">
        <f>IFERROR(__xludf.DUMMYFUNCTION("""COMPUTED_VALUE"""),317.0)</f>
        <v>317</v>
      </c>
      <c r="C14" s="8" t="str">
        <f>IFERROR(__xludf.DUMMYFUNCTION("""COMPUTED_VALUE"""),"passive")</f>
        <v>passive</v>
      </c>
      <c r="D14" s="8">
        <f>IFERROR(__xludf.DUMMYFUNCTION("""COMPUTED_VALUE"""),0.0)</f>
        <v>0</v>
      </c>
      <c r="E14" s="8" t="str">
        <f>IFERROR(__xludf.DUMMYFUNCTION("""COMPUTED_VALUE"""),"glow")</f>
        <v>glow</v>
      </c>
      <c r="F14" s="8" t="str">
        <f>IFERROR(__xludf.DUMMYFUNCTION("""COMPUTED_VALUE"""),"")</f>
        <v/>
      </c>
    </row>
    <row r="15" ht="37.5" customHeight="1">
      <c r="A15" s="8" t="str">
        <f>IFERROR(__xludf.DUMMYFUNCTION("""COMPUTED_VALUE"""),"327_thepolaroid.anm2")</f>
        <v>327_thepolaroid.anm2</v>
      </c>
      <c r="B15" s="8">
        <f>IFERROR(__xludf.DUMMYFUNCTION("""COMPUTED_VALUE"""),327.0)</f>
        <v>327</v>
      </c>
      <c r="C15" s="8" t="str">
        <f>IFERROR(__xludf.DUMMYFUNCTION("""COMPUTED_VALUE"""),"passive")</f>
        <v>passive</v>
      </c>
      <c r="D15" s="8">
        <f>IFERROR(__xludf.DUMMYFUNCTION("""COMPUTED_VALUE"""),0.0)</f>
        <v>0</v>
      </c>
      <c r="E15" s="8" t="str">
        <f>IFERROR(__xludf.DUMMYFUNCTION("""COMPUTED_VALUE"""),"glow")</f>
        <v>glow</v>
      </c>
      <c r="F15" s="8" t="str">
        <f>IFERROR(__xludf.DUMMYFUNCTION("""COMPUTED_VALUE"""),"")</f>
        <v/>
      </c>
    </row>
    <row r="16" ht="37.5" customHeight="1">
      <c r="A16" s="8" t="str">
        <f>IFERROR(__xludf.DUMMYFUNCTION("""COMPUTED_VALUE"""),"328_thenegative.anm2")</f>
        <v>328_thenegative.anm2</v>
      </c>
      <c r="B16" s="8">
        <f>IFERROR(__xludf.DUMMYFUNCTION("""COMPUTED_VALUE"""),328.0)</f>
        <v>328</v>
      </c>
      <c r="C16" s="8" t="str">
        <f>IFERROR(__xludf.DUMMYFUNCTION("""COMPUTED_VALUE"""),"passive")</f>
        <v>passive</v>
      </c>
      <c r="D16" s="8">
        <f>IFERROR(__xludf.DUMMYFUNCTION("""COMPUTED_VALUE"""),0.0)</f>
        <v>0</v>
      </c>
      <c r="E16" s="8" t="str">
        <f>IFERROR(__xludf.DUMMYFUNCTION("""COMPUTED_VALUE"""),"glow")</f>
        <v>glow</v>
      </c>
      <c r="F16" s="8" t="str">
        <f>IFERROR(__xludf.DUMMYFUNCTION("""COMPUTED_VALUE"""),"")</f>
        <v/>
      </c>
    </row>
    <row r="17" ht="37.5" customHeight="1">
      <c r="A17" s="8" t="str">
        <f>IFERROR(__xludf.DUMMYFUNCTION("""COMPUTED_VALUE"""),"331_godhead.anm2")</f>
        <v>331_godhead.anm2</v>
      </c>
      <c r="B17" s="8">
        <f>IFERROR(__xludf.DUMMYFUNCTION("""COMPUTED_VALUE"""),331.0)</f>
        <v>331</v>
      </c>
      <c r="C17" s="8" t="str">
        <f>IFERROR(__xludf.DUMMYFUNCTION("""COMPUTED_VALUE"""),"passive")</f>
        <v>passive</v>
      </c>
      <c r="D17" s="8">
        <f>IFERROR(__xludf.DUMMYFUNCTION("""COMPUTED_VALUE"""),0.0)</f>
        <v>0</v>
      </c>
      <c r="E17" s="8" t="str">
        <f>IFERROR(__xludf.DUMMYFUNCTION("""COMPUTED_VALUE"""),"glow")</f>
        <v>glow</v>
      </c>
      <c r="F17" s="8" t="str">
        <f>IFERROR(__xludf.DUMMYFUNCTION("""COMPUTED_VALUE"""),"")</f>
        <v/>
      </c>
    </row>
    <row r="18" ht="37.5" customHeight="1">
      <c r="A18" s="8" t="str">
        <f>IFERROR(__xludf.DUMMYFUNCTION("""COMPUTED_VALUE"""),"335_soul.anm2")</f>
        <v>335_soul.anm2</v>
      </c>
      <c r="B18" s="8">
        <f>IFERROR(__xludf.DUMMYFUNCTION("""COMPUTED_VALUE"""),335.0)</f>
        <v>335</v>
      </c>
      <c r="C18" s="8" t="str">
        <f>IFERROR(__xludf.DUMMYFUNCTION("""COMPUTED_VALUE"""),"passive")</f>
        <v>passive</v>
      </c>
      <c r="D18" s="8">
        <f>IFERROR(__xludf.DUMMYFUNCTION("""COMPUTED_VALUE"""),0.0)</f>
        <v>0</v>
      </c>
      <c r="E18" s="8" t="str">
        <f>IFERROR(__xludf.DUMMYFUNCTION("""COMPUTED_VALUE"""),"glow")</f>
        <v>glow</v>
      </c>
      <c r="F18" s="8" t="str">
        <f>IFERROR(__xludf.DUMMYFUNCTION("""COMPUTED_VALUE"""),"")</f>
        <v/>
      </c>
    </row>
    <row r="19" ht="37.5" customHeight="1">
      <c r="A19" s="8" t="str">
        <f>IFERROR(__xludf.DUMMYFUNCTION("""COMPUTED_VALUE"""),"350_toxicshock.anm2")</f>
        <v>350_toxicshock.anm2</v>
      </c>
      <c r="B19" s="8">
        <f>IFERROR(__xludf.DUMMYFUNCTION("""COMPUTED_VALUE"""),350.0)</f>
        <v>350</v>
      </c>
      <c r="C19" s="8" t="str">
        <f>IFERROR(__xludf.DUMMYFUNCTION("""COMPUTED_VALUE"""),"passive")</f>
        <v>passive</v>
      </c>
      <c r="D19" s="8">
        <f>IFERROR(__xludf.DUMMYFUNCTION("""COMPUTED_VALUE"""),0.0)</f>
        <v>0</v>
      </c>
      <c r="E19" s="8" t="str">
        <f>IFERROR(__xludf.DUMMYFUNCTION("""COMPUTED_VALUE"""),"glow")</f>
        <v>glow</v>
      </c>
      <c r="F19" s="8" t="str">
        <f>IFERROR(__xludf.DUMMYFUNCTION("""COMPUTED_VALUE"""),"")</f>
        <v/>
      </c>
    </row>
    <row r="20" ht="37.5" customHeight="1">
      <c r="A20" s="8" t="str">
        <f>IFERROR(__xludf.DUMMYFUNCTION("""COMPUTED_VALUE"""),"433_myshadow.anm2")</f>
        <v>433_myshadow.anm2</v>
      </c>
      <c r="B20" s="8">
        <f>IFERROR(__xludf.DUMMYFUNCTION("""COMPUTED_VALUE"""),433.0)</f>
        <v>433</v>
      </c>
      <c r="C20" s="8" t="str">
        <f>IFERROR(__xludf.DUMMYFUNCTION("""COMPUTED_VALUE"""),"passive")</f>
        <v>passive</v>
      </c>
      <c r="D20" s="8">
        <f>IFERROR(__xludf.DUMMYFUNCTION("""COMPUTED_VALUE"""),0.0)</f>
        <v>0</v>
      </c>
      <c r="E20" s="8" t="str">
        <f>IFERROR(__xludf.DUMMYFUNCTION("""COMPUTED_VALUE"""),"glow")</f>
        <v>glow</v>
      </c>
      <c r="F20" s="8" t="str">
        <f>IFERROR(__xludf.DUMMYFUNCTION("""COMPUTED_VALUE"""),"")</f>
        <v/>
      </c>
    </row>
    <row r="21" ht="37.5" customHeight="1">
      <c r="A21" s="8" t="str">
        <f>IFERROR(__xludf.DUMMYFUNCTION("""COMPUTED_VALUE"""),"464_glyphofbalance.anm2")</f>
        <v>464_glyphofbalance.anm2</v>
      </c>
      <c r="B21" s="8">
        <f>IFERROR(__xludf.DUMMYFUNCTION("""COMPUTED_VALUE"""),464.0)</f>
        <v>464</v>
      </c>
      <c r="C21" s="8" t="str">
        <f>IFERROR(__xludf.DUMMYFUNCTION("""COMPUTED_VALUE"""),"passive")</f>
        <v>passive</v>
      </c>
      <c r="D21" s="8">
        <f>IFERROR(__xludf.DUMMYFUNCTION("""COMPUTED_VALUE"""),0.0)</f>
        <v>0</v>
      </c>
      <c r="E21" s="8" t="str">
        <f>IFERROR(__xludf.DUMMYFUNCTION("""COMPUTED_VALUE"""),"glow")</f>
        <v>glow</v>
      </c>
      <c r="F21" s="8" t="str">
        <f>IFERROR(__xludf.DUMMYFUNCTION("""COMPUTED_VALUE"""),"")</f>
        <v/>
      </c>
    </row>
    <row r="22" ht="37.5" customHeight="1">
      <c r="A22" s="8" t="str">
        <f>IFERROR(__xludf.DUMMYFUNCTION("""COMPUTED_VALUE"""),"498_duality.anm2")</f>
        <v>498_duality.anm2</v>
      </c>
      <c r="B22" s="8">
        <f>IFERROR(__xludf.DUMMYFUNCTION("""COMPUTED_VALUE"""),498.0)</f>
        <v>498</v>
      </c>
      <c r="C22" s="8" t="str">
        <f>IFERROR(__xludf.DUMMYFUNCTION("""COMPUTED_VALUE"""),"passive")</f>
        <v>passive</v>
      </c>
      <c r="D22" s="8">
        <f>IFERROR(__xludf.DUMMYFUNCTION("""COMPUTED_VALUE"""),0.0)</f>
        <v>0</v>
      </c>
      <c r="E22" s="8" t="str">
        <f>IFERROR(__xludf.DUMMYFUNCTION("""COMPUTED_VALUE"""),"glow")</f>
        <v>glow</v>
      </c>
      <c r="F22" s="8" t="str">
        <f>IFERROR(__xludf.DUMMYFUNCTION("""COMPUTED_VALUE"""),"")</f>
        <v/>
      </c>
    </row>
    <row r="23" ht="37.5" customHeight="1">
      <c r="A23" s="8" t="str">
        <f>IFERROR(__xludf.DUMMYFUNCTION("""COMPUTED_VALUE"""),"019x_occulteye.anm2")</f>
        <v>019x_occulteye.anm2</v>
      </c>
      <c r="B23" s="8">
        <f>IFERROR(__xludf.DUMMYFUNCTION("""COMPUTED_VALUE"""),572.0)</f>
        <v>572</v>
      </c>
      <c r="C23" s="8" t="str">
        <f>IFERROR(__xludf.DUMMYFUNCTION("""COMPUTED_VALUE"""),"passive")</f>
        <v>passive</v>
      </c>
      <c r="D23" s="8">
        <f>IFERROR(__xludf.DUMMYFUNCTION("""COMPUTED_VALUE"""),10.0)</f>
        <v>10</v>
      </c>
      <c r="E23" s="8" t="str">
        <f>IFERROR(__xludf.DUMMYFUNCTION("""COMPUTED_VALUE"""),"glow")</f>
        <v>glow</v>
      </c>
      <c r="F23" s="8" t="str">
        <f>IFERROR(__xludf.DUMMYFUNCTION("""COMPUTED_VALUE"""),"")</f>
        <v/>
      </c>
    </row>
    <row r="24" ht="37.5" customHeight="1">
      <c r="A24" s="8" t="str">
        <f>IFERROR(__xludf.DUMMYFUNCTION("""COMPUTED_VALUE"""),"020x_immaculateheart.anm2")</f>
        <v>020x_immaculateheart.anm2</v>
      </c>
      <c r="B24" s="8">
        <f>IFERROR(__xludf.DUMMYFUNCTION("""COMPUTED_VALUE"""),573.0)</f>
        <v>573</v>
      </c>
      <c r="C24" s="8" t="str">
        <f>IFERROR(__xludf.DUMMYFUNCTION("""COMPUTED_VALUE"""),"passive")</f>
        <v>passive</v>
      </c>
      <c r="D24" s="8">
        <f>IFERROR(__xludf.DUMMYFUNCTION("""COMPUTED_VALUE"""),0.0)</f>
        <v>0</v>
      </c>
      <c r="E24" s="8" t="str">
        <f>IFERROR(__xludf.DUMMYFUNCTION("""COMPUTED_VALUE"""),"glow")</f>
        <v>glow</v>
      </c>
      <c r="F24" s="8" t="str">
        <f>IFERROR(__xludf.DUMMYFUNCTION("""COMPUTED_VALUE"""),"")</f>
        <v/>
      </c>
    </row>
    <row r="25" ht="37.5" customHeight="1">
      <c r="A25" s="8" t="str">
        <f>IFERROR(__xludf.DUMMYFUNCTION("""COMPUTED_VALUE"""),"021x_monstrance.anm2")</f>
        <v>021x_monstrance.anm2</v>
      </c>
      <c r="B25" s="8">
        <f>IFERROR(__xludf.DUMMYFUNCTION("""COMPUTED_VALUE"""),574.0)</f>
        <v>574</v>
      </c>
      <c r="C25" s="8" t="str">
        <f>IFERROR(__xludf.DUMMYFUNCTION("""COMPUTED_VALUE"""),"passive")</f>
        <v>passive</v>
      </c>
      <c r="D25" s="8">
        <f>IFERROR(__xludf.DUMMYFUNCTION("""COMPUTED_VALUE"""),1.0)</f>
        <v>1</v>
      </c>
      <c r="E25" s="8" t="str">
        <f>IFERROR(__xludf.DUMMYFUNCTION("""COMPUTED_VALUE"""),"glow")</f>
        <v>glow</v>
      </c>
      <c r="F25" s="8" t="str">
        <f>IFERROR(__xludf.DUMMYFUNCTION("""COMPUTED_VALUE"""),"")</f>
        <v/>
      </c>
    </row>
    <row r="26" ht="37.5" customHeight="1">
      <c r="A26" s="8" t="str">
        <f>IFERROR(__xludf.DUMMYFUNCTION("""COMPUTED_VALUE"""),"035x_sol.anm2")</f>
        <v>035x_sol.anm2</v>
      </c>
      <c r="B26" s="8">
        <f>IFERROR(__xludf.DUMMYFUNCTION("""COMPUTED_VALUE"""),588.0)</f>
        <v>588</v>
      </c>
      <c r="C26" s="8" t="str">
        <f>IFERROR(__xludf.DUMMYFUNCTION("""COMPUTED_VALUE"""),"passive")</f>
        <v>passive</v>
      </c>
      <c r="D26" s="8">
        <f>IFERROR(__xludf.DUMMYFUNCTION("""COMPUTED_VALUE"""),0.0)</f>
        <v>0</v>
      </c>
      <c r="E26" s="8" t="str">
        <f>IFERROR(__xludf.DUMMYFUNCTION("""COMPUTED_VALUE"""),"glow")</f>
        <v>glow</v>
      </c>
      <c r="F26" s="8" t="str">
        <f>IFERROR(__xludf.DUMMYFUNCTION("""COMPUTED_VALUE"""),"")</f>
        <v/>
      </c>
    </row>
    <row r="27" ht="37.5" customHeight="1">
      <c r="A27" s="8" t="str">
        <f>IFERROR(__xludf.DUMMYFUNCTION("""COMPUTED_VALUE"""),"048x_actofcontrition.anm2")</f>
        <v>048x_actofcontrition.anm2</v>
      </c>
      <c r="B27" s="8">
        <f>IFERROR(__xludf.DUMMYFUNCTION("""COMPUTED_VALUE"""),601.0)</f>
        <v>601</v>
      </c>
      <c r="C27" s="8" t="str">
        <f>IFERROR(__xludf.DUMMYFUNCTION("""COMPUTED_VALUE"""),"passive")</f>
        <v>passive</v>
      </c>
      <c r="D27" s="8">
        <f>IFERROR(__xludf.DUMMYFUNCTION("""COMPUTED_VALUE"""),0.0)</f>
        <v>0</v>
      </c>
      <c r="E27" s="8" t="str">
        <f>IFERROR(__xludf.DUMMYFUNCTION("""COMPUTED_VALUE"""),"glow")</f>
        <v>glow</v>
      </c>
      <c r="F27" s="8" t="str">
        <f>IFERROR(__xludf.DUMMYFUNCTION("""COMPUTED_VALUE"""),"")</f>
        <v/>
      </c>
    </row>
  </sheetData>
  <customSheetViews>
    <customSheetView guid="{B07D8034-17A6-4979-AD0A-EDA5D4406C74}" filter="1" showAutoFilter="1">
      <autoFilter ref="$A$1:$F$27"/>
    </customSheetView>
  </customSheetView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5.13"/>
    <col customWidth="1" min="3" max="3" width="7.25"/>
    <col customWidth="1" min="4" max="4" width="9.38"/>
    <col customWidth="1" min="5" max="5" width="8.0"/>
    <col customWidth="1" min="6" max="6" width="25.13"/>
  </cols>
  <sheetData>
    <row r="1" ht="37.5" customHeight="1">
      <c r="A1" s="7" t="s">
        <v>0</v>
      </c>
      <c r="B1" s="7" t="s">
        <v>1</v>
      </c>
      <c r="C1" s="7" t="s">
        <v>2</v>
      </c>
      <c r="D1" s="7" t="s">
        <v>3</v>
      </c>
      <c r="E1" s="7" t="s">
        <v>4</v>
      </c>
      <c r="F1" s="7" t="s">
        <v>5</v>
      </c>
    </row>
    <row r="2" ht="37.5" customHeight="1">
      <c r="A2" s="8" t="str">
        <f>IFERROR(__xludf.DUMMYFUNCTION("FILTER('All Costumes'!A2:F645, 'All Costumes'!E2:E645=""body"")"),"002x_schoolbag.anm2")</f>
        <v>002x_schoolbag.anm2</v>
      </c>
      <c r="B2" s="8">
        <f>IFERROR(__xludf.DUMMYFUNCTION("""COMPUTED_VALUE"""),-1.0)</f>
        <v>-1</v>
      </c>
      <c r="C2" s="8" t="str">
        <f>IFERROR(__xludf.DUMMYFUNCTION("""COMPUTED_VALUE"""),"")</f>
        <v/>
      </c>
      <c r="D2" s="8">
        <f>IFERROR(__xludf.DUMMYFUNCTION("""COMPUTED_VALUE"""),0.0)</f>
        <v>0</v>
      </c>
      <c r="E2" s="8" t="str">
        <f>IFERROR(__xludf.DUMMYFUNCTION("""COMPUTED_VALUE"""),"body")</f>
        <v>body</v>
      </c>
      <c r="F2" s="8" t="str">
        <f>IFERROR(__xludf.DUMMYFUNCTION("""COMPUTED_VALUE"""),"")</f>
        <v/>
      </c>
    </row>
    <row r="3" ht="37.5" customHeight="1">
      <c r="A3" s="8" t="str">
        <f>IFERROR(__xludf.DUMMYFUNCTION("""COMPUTED_VALUE"""),"022x_theintruder2.anm2")</f>
        <v>022x_theintruder2.anm2</v>
      </c>
      <c r="B3" s="8">
        <f>IFERROR(__xludf.DUMMYFUNCTION("""COMPUTED_VALUE"""),-1.0)</f>
        <v>-1</v>
      </c>
      <c r="C3" s="8" t="str">
        <f>IFERROR(__xludf.DUMMYFUNCTION("""COMPUTED_VALUE"""),"")</f>
        <v/>
      </c>
      <c r="D3" s="8">
        <f>IFERROR(__xludf.DUMMYFUNCTION("""COMPUTED_VALUE"""),0.0)</f>
        <v>0</v>
      </c>
      <c r="E3" s="8" t="str">
        <f>IFERROR(__xludf.DUMMYFUNCTION("""COMPUTED_VALUE"""),"body")</f>
        <v>body</v>
      </c>
      <c r="F3" s="8" t="str">
        <f>IFERROR(__xludf.DUMMYFUNCTION("""COMPUTED_VALUE"""),"")</f>
        <v/>
      </c>
    </row>
    <row r="4" ht="37.5" customHeight="1">
      <c r="A4" s="8" t="str">
        <f>IFERROR(__xludf.DUMMYFUNCTION("""COMPUTED_VALUE"""),"263_lordoftheflies.anm2")</f>
        <v>263_lordoftheflies.anm2</v>
      </c>
      <c r="B4" s="8">
        <f>IFERROR(__xludf.DUMMYFUNCTION("""COMPUTED_VALUE"""),3.0)</f>
        <v>3</v>
      </c>
      <c r="C4" s="8" t="str">
        <f>IFERROR(__xludf.DUMMYFUNCTION("""COMPUTED_VALUE"""),"none")</f>
        <v>none</v>
      </c>
      <c r="D4" s="8">
        <f>IFERROR(__xludf.DUMMYFUNCTION("""COMPUTED_VALUE"""),0.0)</f>
        <v>0</v>
      </c>
      <c r="E4" s="8" t="str">
        <f>IFERROR(__xludf.DUMMYFUNCTION("""COMPUTED_VALUE"""),"body")</f>
        <v>body</v>
      </c>
      <c r="F4" s="8" t="str">
        <f>IFERROR(__xludf.DUMMYFUNCTION("""COMPUTED_VALUE"""),"")</f>
        <v/>
      </c>
    </row>
    <row r="5" ht="37.5" customHeight="1">
      <c r="A5" s="8" t="str">
        <f>IFERROR(__xludf.DUMMYFUNCTION("""COMPUTED_VALUE"""),"210_gnawedleaf_statue.anm2")</f>
        <v>210_gnawedleaf_statue.anm2</v>
      </c>
      <c r="B5" s="8">
        <f>IFERROR(__xludf.DUMMYFUNCTION("""COMPUTED_VALUE"""),4.0)</f>
        <v>4</v>
      </c>
      <c r="C5" s="8" t="str">
        <f>IFERROR(__xludf.DUMMYFUNCTION("""COMPUTED_VALUE"""),"none")</f>
        <v>none</v>
      </c>
      <c r="D5" s="8">
        <f>IFERROR(__xludf.DUMMYFUNCTION("""COMPUTED_VALUE"""),50.0)</f>
        <v>50</v>
      </c>
      <c r="E5" s="8" t="str">
        <f>IFERROR(__xludf.DUMMYFUNCTION("""COMPUTED_VALUE"""),"body")</f>
        <v>body</v>
      </c>
      <c r="F5" s="8" t="str">
        <f>IFERROR(__xludf.DUMMYFUNCTION("""COMPUTED_VALUE"""),"")</f>
        <v/>
      </c>
    </row>
    <row r="6" ht="37.5" customHeight="1">
      <c r="A6" s="8" t="str">
        <f>IFERROR(__xludf.DUMMYFUNCTION("""COMPUTED_VALUE"""),"n005_guppy.anm2")</f>
        <v>n005_guppy.anm2</v>
      </c>
      <c r="B6" s="8">
        <f>IFERROR(__xludf.DUMMYFUNCTION("""COMPUTED_VALUE"""),5.0)</f>
        <v>5</v>
      </c>
      <c r="C6" s="8" t="str">
        <f>IFERROR(__xludf.DUMMYFUNCTION("""COMPUTED_VALUE"""),"none")</f>
        <v>none</v>
      </c>
      <c r="D6" s="8">
        <f>IFERROR(__xludf.DUMMYFUNCTION("""COMPUTED_VALUE"""),0.0)</f>
        <v>0</v>
      </c>
      <c r="E6" s="8" t="str">
        <f>IFERROR(__xludf.DUMMYFUNCTION("""COMPUTED_VALUE"""),"body")</f>
        <v>body</v>
      </c>
      <c r="F6" s="8" t="str">
        <f>IFERROR(__xludf.DUMMYFUNCTION("""COMPUTED_VALUE"""),"")</f>
        <v/>
      </c>
    </row>
    <row r="7" ht="37.5" customHeight="1">
      <c r="A7" s="8" t="str">
        <f>IFERROR(__xludf.DUMMYFUNCTION("""COMPUTED_VALUE"""),"n018_empty vessel.anm2")</f>
        <v>n018_empty vessel.anm2</v>
      </c>
      <c r="B7" s="8">
        <f>IFERROR(__xludf.DUMMYFUNCTION("""COMPUTED_VALUE"""),18.0)</f>
        <v>18</v>
      </c>
      <c r="C7" s="8" t="str">
        <f>IFERROR(__xludf.DUMMYFUNCTION("""COMPUTED_VALUE"""),"none")</f>
        <v>none</v>
      </c>
      <c r="D7" s="8">
        <f>IFERROR(__xludf.DUMMYFUNCTION("""COMPUTED_VALUE"""),0.0)</f>
        <v>0</v>
      </c>
      <c r="E7" s="8" t="str">
        <f>IFERROR(__xludf.DUMMYFUNCTION("""COMPUTED_VALUE"""),"body")</f>
        <v>body</v>
      </c>
      <c r="F7" s="8" t="str">
        <f>IFERROR(__xludf.DUMMYFUNCTION("""COMPUTED_VALUE"""),"")</f>
        <v/>
      </c>
    </row>
    <row r="8" ht="37.5" customHeight="1">
      <c r="A8" s="8" t="str">
        <f>IFERROR(__xludf.DUMMYFUNCTION("""COMPUTED_VALUE"""),"020_transcendence.anm2")</f>
        <v>020_transcendence.anm2</v>
      </c>
      <c r="B8" s="8">
        <f>IFERROR(__xludf.DUMMYFUNCTION("""COMPUTED_VALUE"""),20.0)</f>
        <v>20</v>
      </c>
      <c r="C8" s="8" t="str">
        <f>IFERROR(__xludf.DUMMYFUNCTION("""COMPUTED_VALUE"""),"passive")</f>
        <v>passive</v>
      </c>
      <c r="D8" s="8">
        <f>IFERROR(__xludf.DUMMYFUNCTION("""COMPUTED_VALUE"""),100.0)</f>
        <v>100</v>
      </c>
      <c r="E8" s="8" t="str">
        <f>IFERROR(__xludf.DUMMYFUNCTION("""COMPUTED_VALUE"""),"body")</f>
        <v>body</v>
      </c>
      <c r="F8" s="8" t="str">
        <f>IFERROR(__xludf.DUMMYFUNCTION("""COMPUTED_VALUE"""),"")</f>
        <v/>
      </c>
    </row>
    <row r="9" ht="37.5" customHeight="1">
      <c r="A9" s="8" t="str">
        <f>IFERROR(__xludf.DUMMYFUNCTION("""COMPUTED_VALUE"""),"n020_transformation mushroom.anm2")</f>
        <v>n020_transformation mushroom.anm2</v>
      </c>
      <c r="B9" s="8">
        <f>IFERROR(__xludf.DUMMYFUNCTION("""COMPUTED_VALUE"""),20.0)</f>
        <v>20</v>
      </c>
      <c r="C9" s="8" t="str">
        <f>IFERROR(__xludf.DUMMYFUNCTION("""COMPUTED_VALUE"""),"none")</f>
        <v>none</v>
      </c>
      <c r="D9" s="8">
        <f>IFERROR(__xludf.DUMMYFUNCTION("""COMPUTED_VALUE"""),19.0)</f>
        <v>19</v>
      </c>
      <c r="E9" s="8" t="str">
        <f>IFERROR(__xludf.DUMMYFUNCTION("""COMPUTED_VALUE"""),"body")</f>
        <v>body</v>
      </c>
      <c r="F9" s="8" t="str">
        <f>IFERROR(__xludf.DUMMYFUNCTION("""COMPUTED_VALUE"""),"")</f>
        <v/>
      </c>
    </row>
    <row r="10" ht="37.5" customHeight="1">
      <c r="A10" s="8" t="str">
        <f>IFERROR(__xludf.DUMMYFUNCTION("""COMPUTED_VALUE"""),"n021_transformation_angel.anm2")</f>
        <v>n021_transformation_angel.anm2</v>
      </c>
      <c r="B10" s="8">
        <f>IFERROR(__xludf.DUMMYFUNCTION("""COMPUTED_VALUE"""),21.0)</f>
        <v>21</v>
      </c>
      <c r="C10" s="8" t="str">
        <f>IFERROR(__xludf.DUMMYFUNCTION("""COMPUTED_VALUE"""),"none")</f>
        <v>none</v>
      </c>
      <c r="D10" s="8">
        <f>IFERROR(__xludf.DUMMYFUNCTION("""COMPUTED_VALUE"""),19.0)</f>
        <v>19</v>
      </c>
      <c r="E10" s="8" t="str">
        <f>IFERROR(__xludf.DUMMYFUNCTION("""COMPUTED_VALUE"""),"body")</f>
        <v>body</v>
      </c>
      <c r="F10" s="8" t="str">
        <f>IFERROR(__xludf.DUMMYFUNCTION("""COMPUTED_VALUE"""),"")</f>
        <v/>
      </c>
    </row>
    <row r="11" ht="37.5" customHeight="1">
      <c r="A11" s="8" t="str">
        <f>IFERROR(__xludf.DUMMYFUNCTION("""COMPUTED_VALUE"""),"n022_transformation_bob.anm2")</f>
        <v>n022_transformation_bob.anm2</v>
      </c>
      <c r="B11" s="8">
        <f>IFERROR(__xludf.DUMMYFUNCTION("""COMPUTED_VALUE"""),22.0)</f>
        <v>22</v>
      </c>
      <c r="C11" s="8" t="str">
        <f>IFERROR(__xludf.DUMMYFUNCTION("""COMPUTED_VALUE"""),"none")</f>
        <v>none</v>
      </c>
      <c r="D11" s="8">
        <f>IFERROR(__xludf.DUMMYFUNCTION("""COMPUTED_VALUE"""),19.0)</f>
        <v>19</v>
      </c>
      <c r="E11" s="8" t="str">
        <f>IFERROR(__xludf.DUMMYFUNCTION("""COMPUTED_VALUE"""),"body")</f>
        <v>body</v>
      </c>
      <c r="F11" s="8" t="str">
        <f>IFERROR(__xludf.DUMMYFUNCTION("""COMPUTED_VALUE"""),"")</f>
        <v/>
      </c>
    </row>
    <row r="12" ht="37.5" customHeight="1">
      <c r="A12" s="8" t="str">
        <f>IFERROR(__xludf.DUMMYFUNCTION("""COMPUTED_VALUE"""),"n023_transformation_drugs.anm2")</f>
        <v>n023_transformation_drugs.anm2</v>
      </c>
      <c r="B12" s="8">
        <f>IFERROR(__xludf.DUMMYFUNCTION("""COMPUTED_VALUE"""),23.0)</f>
        <v>23</v>
      </c>
      <c r="C12" s="8" t="str">
        <f>IFERROR(__xludf.DUMMYFUNCTION("""COMPUTED_VALUE"""),"none")</f>
        <v>none</v>
      </c>
      <c r="D12" s="8">
        <f>IFERROR(__xludf.DUMMYFUNCTION("""COMPUTED_VALUE"""),19.0)</f>
        <v>19</v>
      </c>
      <c r="E12" s="8" t="str">
        <f>IFERROR(__xludf.DUMMYFUNCTION("""COMPUTED_VALUE"""),"body")</f>
        <v>body</v>
      </c>
      <c r="F12" s="8" t="str">
        <f>IFERROR(__xludf.DUMMYFUNCTION("""COMPUTED_VALUE"""),"")</f>
        <v/>
      </c>
      <c r="K12" s="9" t="s">
        <v>519</v>
      </c>
    </row>
    <row r="13" ht="37.5" customHeight="1">
      <c r="A13" s="8" t="str">
        <f>IFERROR(__xludf.DUMMYFUNCTION("""COMPUTED_VALUE"""),"n024_transformation_mom.anm2")</f>
        <v>n024_transformation_mom.anm2</v>
      </c>
      <c r="B13" s="8">
        <f>IFERROR(__xludf.DUMMYFUNCTION("""COMPUTED_VALUE"""),24.0)</f>
        <v>24</v>
      </c>
      <c r="C13" s="8" t="str">
        <f>IFERROR(__xludf.DUMMYFUNCTION("""COMPUTED_VALUE"""),"none")</f>
        <v>none</v>
      </c>
      <c r="D13" s="8">
        <f>IFERROR(__xludf.DUMMYFUNCTION("""COMPUTED_VALUE"""),19.0)</f>
        <v>19</v>
      </c>
      <c r="E13" s="8" t="str">
        <f>IFERROR(__xludf.DUMMYFUNCTION("""COMPUTED_VALUE"""),"body")</f>
        <v>body</v>
      </c>
      <c r="F13" s="8" t="str">
        <f>IFERROR(__xludf.DUMMYFUNCTION("""COMPUTED_VALUE"""),"")</f>
        <v/>
      </c>
    </row>
    <row r="14" ht="37.5" customHeight="1">
      <c r="A14" s="8" t="str">
        <f>IFERROR(__xludf.DUMMYFUNCTION("""COMPUTED_VALUE"""),"n026_transformation_evilangel.anm2")</f>
        <v>n026_transformation_evilangel.anm2</v>
      </c>
      <c r="B14" s="8">
        <f>IFERROR(__xludf.DUMMYFUNCTION("""COMPUTED_VALUE"""),26.0)</f>
        <v>26</v>
      </c>
      <c r="C14" s="8" t="str">
        <f>IFERROR(__xludf.DUMMYFUNCTION("""COMPUTED_VALUE"""),"none")</f>
        <v>none</v>
      </c>
      <c r="D14" s="8">
        <f>IFERROR(__xludf.DUMMYFUNCTION("""COMPUTED_VALUE"""),19.0)</f>
        <v>19</v>
      </c>
      <c r="E14" s="8" t="str">
        <f>IFERROR(__xludf.DUMMYFUNCTION("""COMPUTED_VALUE"""),"body")</f>
        <v>body</v>
      </c>
      <c r="F14" s="8" t="str">
        <f>IFERROR(__xludf.DUMMYFUNCTION("""COMPUTED_VALUE"""),"")</f>
        <v/>
      </c>
    </row>
    <row r="15" ht="37.5" customHeight="1">
      <c r="A15" s="8" t="str">
        <f>IFERROR(__xludf.DUMMYFUNCTION("""COMPUTED_VALUE"""),"n027_transformation_poop.anm2")</f>
        <v>n027_transformation_poop.anm2</v>
      </c>
      <c r="B15" s="8">
        <f>IFERROR(__xludf.DUMMYFUNCTION("""COMPUTED_VALUE"""),27.0)</f>
        <v>27</v>
      </c>
      <c r="C15" s="8" t="str">
        <f>IFERROR(__xludf.DUMMYFUNCTION("""COMPUTED_VALUE"""),"none")</f>
        <v>none</v>
      </c>
      <c r="D15" s="8">
        <f>IFERROR(__xludf.DUMMYFUNCTION("""COMPUTED_VALUE"""),19.0)</f>
        <v>19</v>
      </c>
      <c r="E15" s="8" t="str">
        <f>IFERROR(__xludf.DUMMYFUNCTION("""COMPUTED_VALUE"""),"body")</f>
        <v>body</v>
      </c>
      <c r="F15" s="8" t="str">
        <f>IFERROR(__xludf.DUMMYFUNCTION("""COMPUTED_VALUE"""),"")</f>
        <v/>
      </c>
    </row>
    <row r="16" ht="37.5" customHeight="1">
      <c r="A16" s="8" t="str">
        <f>IFERROR(__xludf.DUMMYFUNCTION("""COMPUTED_VALUE"""),"n030_boomerang.anm2")</f>
        <v>n030_boomerang.anm2</v>
      </c>
      <c r="B16" s="8">
        <f>IFERROR(__xludf.DUMMYFUNCTION("""COMPUTED_VALUE"""),30.0)</f>
        <v>30</v>
      </c>
      <c r="C16" s="8" t="str">
        <f>IFERROR(__xludf.DUMMYFUNCTION("""COMPUTED_VALUE"""),"none")</f>
        <v>none</v>
      </c>
      <c r="D16" s="8">
        <f>IFERROR(__xludf.DUMMYFUNCTION("""COMPUTED_VALUE"""),100.0)</f>
        <v>100</v>
      </c>
      <c r="E16" s="8" t="str">
        <f>IFERROR(__xludf.DUMMYFUNCTION("""COMPUTED_VALUE"""),"body")</f>
        <v>body</v>
      </c>
      <c r="F16" s="8" t="str">
        <f>IFERROR(__xludf.DUMMYFUNCTION("""COMPUTED_VALUE"""),"")</f>
        <v/>
      </c>
    </row>
    <row r="17" ht="37.5" customHeight="1">
      <c r="A17" s="8" t="str">
        <f>IFERROR(__xludf.DUMMYFUNCTION("""COMPUTED_VALUE"""),"n028_transformation_iwata.anm2")</f>
        <v>n028_transformation_iwata.anm2</v>
      </c>
      <c r="B17" s="8">
        <f>IFERROR(__xludf.DUMMYFUNCTION("""COMPUTED_VALUE"""),35.0)</f>
        <v>35</v>
      </c>
      <c r="C17" s="8" t="str">
        <f>IFERROR(__xludf.DUMMYFUNCTION("""COMPUTED_VALUE"""),"none")</f>
        <v>none</v>
      </c>
      <c r="D17" s="8">
        <f>IFERROR(__xludf.DUMMYFUNCTION("""COMPUTED_VALUE"""),100.0)</f>
        <v>100</v>
      </c>
      <c r="E17" s="8" t="str">
        <f>IFERROR(__xludf.DUMMYFUNCTION("""COMPUTED_VALUE"""),"body")</f>
        <v>body</v>
      </c>
      <c r="F17" s="8" t="str">
        <f>IFERROR(__xludf.DUMMYFUNCTION("""COMPUTED_VALUE"""),"")</f>
        <v/>
      </c>
    </row>
    <row r="18" ht="37.5" customHeight="1">
      <c r="A18" s="8" t="str">
        <f>IFERROR(__xludf.DUMMYFUNCTION("""COMPUTED_VALUE"""),"character_015_apollyonbody.anm2")</f>
        <v>character_015_apollyonbody.anm2</v>
      </c>
      <c r="B18" s="8">
        <f>IFERROR(__xludf.DUMMYFUNCTION("""COMPUTED_VALUE"""),36.0)</f>
        <v>36</v>
      </c>
      <c r="C18" s="8" t="str">
        <f>IFERROR(__xludf.DUMMYFUNCTION("""COMPUTED_VALUE"""),"none")</f>
        <v>none</v>
      </c>
      <c r="D18" s="8">
        <f>IFERROR(__xludf.DUMMYFUNCTION("""COMPUTED_VALUE"""),1.0)</f>
        <v>1</v>
      </c>
      <c r="E18" s="8" t="str">
        <f>IFERROR(__xludf.DUMMYFUNCTION("""COMPUTED_VALUE"""),"body")</f>
        <v>body</v>
      </c>
      <c r="F18" s="8" t="str">
        <f>IFERROR(__xludf.DUMMYFUNCTION("""COMPUTED_VALUE"""),"")</f>
        <v/>
      </c>
    </row>
    <row r="19" ht="37.5" customHeight="1">
      <c r="A19" s="8" t="str">
        <f>IFERROR(__xludf.DUMMYFUNCTION("""COMPUTED_VALUE"""),"126_razor blade.anm2")</f>
        <v>126_razor blade.anm2</v>
      </c>
      <c r="B19" s="8">
        <f>IFERROR(__xludf.DUMMYFUNCTION("""COMPUTED_VALUE"""),40.0)</f>
        <v>40</v>
      </c>
      <c r="C19" s="8" t="str">
        <f>IFERROR(__xludf.DUMMYFUNCTION("""COMPUTED_VALUE"""),"trinket")</f>
        <v>trinket</v>
      </c>
      <c r="D19" s="8">
        <f>IFERROR(__xludf.DUMMYFUNCTION("""COMPUTED_VALUE"""),0.0)</f>
        <v>0</v>
      </c>
      <c r="E19" s="8" t="str">
        <f>IFERROR(__xludf.DUMMYFUNCTION("""COMPUTED_VALUE"""),"body")</f>
        <v>body</v>
      </c>
      <c r="F19" s="8" t="str">
        <f>IFERROR(__xludf.DUMMYFUNCTION("""COMPUTED_VALUE"""),"")</f>
        <v/>
      </c>
    </row>
    <row r="20" ht="37.5" customHeight="1">
      <c r="A20" s="8" t="str">
        <f>IFERROR(__xludf.DUMMYFUNCTION("""COMPUTED_VALUE"""),"t118_batwing.anm2")</f>
        <v>t118_batwing.anm2</v>
      </c>
      <c r="B20" s="8">
        <f>IFERROR(__xludf.DUMMYFUNCTION("""COMPUTED_VALUE"""),40.0)</f>
        <v>40</v>
      </c>
      <c r="C20" s="8" t="str">
        <f>IFERROR(__xludf.DUMMYFUNCTION("""COMPUTED_VALUE"""),"none")</f>
        <v>none</v>
      </c>
      <c r="D20" s="8">
        <f>IFERROR(__xludf.DUMMYFUNCTION("""COMPUTED_VALUE"""),0.0)</f>
        <v>0</v>
      </c>
      <c r="E20" s="8" t="str">
        <f>IFERROR(__xludf.DUMMYFUNCTION("""COMPUTED_VALUE"""),"body")</f>
        <v>body</v>
      </c>
      <c r="F20" s="8" t="str">
        <f>IFERROR(__xludf.DUMMYFUNCTION("""COMPUTED_VALUE"""),"")</f>
        <v/>
      </c>
    </row>
    <row r="21" ht="37.5" customHeight="1">
      <c r="A21" s="8" t="str">
        <f>IFERROR(__xludf.DUMMYFUNCTION("""COMPUTED_VALUE"""),"character_016_theforgottenbody.anm2")</f>
        <v>character_016_theforgottenbody.anm2</v>
      </c>
      <c r="B21" s="8">
        <f>IFERROR(__xludf.DUMMYFUNCTION("""COMPUTED_VALUE"""),44.0)</f>
        <v>44</v>
      </c>
      <c r="C21" s="8" t="str">
        <f>IFERROR(__xludf.DUMMYFUNCTION("""COMPUTED_VALUE"""),"none")</f>
        <v>none</v>
      </c>
      <c r="D21" s="8">
        <f>IFERROR(__xludf.DUMMYFUNCTION("""COMPUTED_VALUE"""),0.0)</f>
        <v>0</v>
      </c>
      <c r="E21" s="8" t="str">
        <f>IFERROR(__xludf.DUMMYFUNCTION("""COMPUTED_VALUE"""),"body")</f>
        <v>body</v>
      </c>
      <c r="F21" s="8" t="str">
        <f>IFERROR(__xludf.DUMMYFUNCTION("""COMPUTED_VALUE"""),"")</f>
        <v/>
      </c>
    </row>
    <row r="22" ht="37.5" customHeight="1">
      <c r="A22" s="8" t="str">
        <f>IFERROR(__xludf.DUMMYFUNCTION("""COMPUTED_VALUE"""),"n045_brimstone2.anm2")</f>
        <v>n045_brimstone2.anm2</v>
      </c>
      <c r="B22" s="8">
        <f>IFERROR(__xludf.DUMMYFUNCTION("""COMPUTED_VALUE"""),45.0)</f>
        <v>45</v>
      </c>
      <c r="C22" s="8" t="str">
        <f>IFERROR(__xludf.DUMMYFUNCTION("""COMPUTED_VALUE"""),"none")</f>
        <v>none</v>
      </c>
      <c r="D22" s="8">
        <f>IFERROR(__xludf.DUMMYFUNCTION("""COMPUTED_VALUE"""),24.0)</f>
        <v>24</v>
      </c>
      <c r="E22" s="8" t="str">
        <f>IFERROR(__xludf.DUMMYFUNCTION("""COMPUTED_VALUE"""),"body")</f>
        <v>body</v>
      </c>
      <c r="F22" s="8" t="str">
        <f>IFERROR(__xludf.DUMMYFUNCTION("""COMPUTED_VALUE"""),"")</f>
        <v/>
      </c>
    </row>
    <row r="23" ht="37.5" customHeight="1">
      <c r="A23" s="8" t="str">
        <f>IFERROR(__xludf.DUMMYFUNCTION("""COMPUTED_VALUE"""),"663_toothandnail_statue.anm2")</f>
        <v>663_toothandnail_statue.anm2</v>
      </c>
      <c r="B23" s="8">
        <f>IFERROR(__xludf.DUMMYFUNCTION("""COMPUTED_VALUE"""),59.0)</f>
        <v>59</v>
      </c>
      <c r="C23" s="8" t="str">
        <f>IFERROR(__xludf.DUMMYFUNCTION("""COMPUTED_VALUE"""),"none")</f>
        <v>none</v>
      </c>
      <c r="D23" s="8">
        <f>IFERROR(__xludf.DUMMYFUNCTION("""COMPUTED_VALUE"""),51.0)</f>
        <v>51</v>
      </c>
      <c r="E23" s="8" t="str">
        <f>IFERROR(__xludf.DUMMYFUNCTION("""COMPUTED_VALUE"""),"body")</f>
        <v>body</v>
      </c>
      <c r="F23" s="8" t="str">
        <f>IFERROR(__xludf.DUMMYFUNCTION("""COMPUTED_VALUE"""),"")</f>
        <v/>
      </c>
    </row>
    <row r="24" ht="37.5" customHeight="1">
      <c r="A24" s="8" t="str">
        <f>IFERROR(__xludf.DUMMYFUNCTION("""COMPUTED_VALUE"""),"n_reverse_chariot.anm2")</f>
        <v>n_reverse_chariot.anm2</v>
      </c>
      <c r="B24" s="8">
        <f>IFERROR(__xludf.DUMMYFUNCTION("""COMPUTED_VALUE"""),63.0)</f>
        <v>63</v>
      </c>
      <c r="C24" s="8" t="str">
        <f>IFERROR(__xludf.DUMMYFUNCTION("""COMPUTED_VALUE"""),"none")</f>
        <v>none</v>
      </c>
      <c r="D24" s="8">
        <f>IFERROR(__xludf.DUMMYFUNCTION("""COMPUTED_VALUE"""),51.0)</f>
        <v>51</v>
      </c>
      <c r="E24" s="8" t="str">
        <f>IFERROR(__xludf.DUMMYFUNCTION("""COMPUTED_VALUE"""),"body")</f>
        <v>body</v>
      </c>
      <c r="F24" s="8" t="str">
        <f>IFERROR(__xludf.DUMMYFUNCTION("""COMPUTED_VALUE"""),"")</f>
        <v/>
      </c>
    </row>
    <row r="25" ht="37.5" customHeight="1">
      <c r="A25" s="8" t="str">
        <f>IFERROR(__xludf.DUMMYFUNCTION("""COMPUTED_VALUE"""),"n_reverse_chariot_alt.anm2")</f>
        <v>n_reverse_chariot_alt.anm2</v>
      </c>
      <c r="B25" s="8">
        <f>IFERROR(__xludf.DUMMYFUNCTION("""COMPUTED_VALUE"""),68.0)</f>
        <v>68</v>
      </c>
      <c r="C25" s="8" t="str">
        <f>IFERROR(__xludf.DUMMYFUNCTION("""COMPUTED_VALUE"""),"none")</f>
        <v>none</v>
      </c>
      <c r="D25" s="8">
        <f>IFERROR(__xludf.DUMMYFUNCTION("""COMPUTED_VALUE"""),51.0)</f>
        <v>51</v>
      </c>
      <c r="E25" s="8" t="str">
        <f>IFERROR(__xludf.DUMMYFUNCTION("""COMPUTED_VALUE"""),"body")</f>
        <v>body</v>
      </c>
      <c r="F25" s="8" t="str">
        <f>IFERROR(__xludf.DUMMYFUNCTION("""COMPUTED_VALUE"""),"")</f>
        <v/>
      </c>
    </row>
    <row r="26" ht="37.5" customHeight="1">
      <c r="A26" s="8" t="str">
        <f>IFERROR(__xludf.DUMMYFUNCTION("""COMPUTED_VALUE"""),"n_jupiter_body.anm2")</f>
        <v>n_jupiter_body.anm2</v>
      </c>
      <c r="B26" s="8">
        <f>IFERROR(__xludf.DUMMYFUNCTION("""COMPUTED_VALUE"""),75.0)</f>
        <v>75</v>
      </c>
      <c r="C26" s="8" t="str">
        <f>IFERROR(__xludf.DUMMYFUNCTION("""COMPUTED_VALUE"""),"none")</f>
        <v>none</v>
      </c>
      <c r="D26" s="8">
        <f>IFERROR(__xludf.DUMMYFUNCTION("""COMPUTED_VALUE"""),101.0)</f>
        <v>101</v>
      </c>
      <c r="E26" s="8" t="str">
        <f>IFERROR(__xludf.DUMMYFUNCTION("""COMPUTED_VALUE"""),"body")</f>
        <v>body</v>
      </c>
      <c r="F26" s="8" t="str">
        <f>IFERROR(__xludf.DUMMYFUNCTION("""COMPUTED_VALUE"""),"")</f>
        <v/>
      </c>
    </row>
    <row r="27" ht="37.5" customHeight="1">
      <c r="A27" s="8" t="str">
        <f>IFERROR(__xludf.DUMMYFUNCTION("""COMPUTED_VALUE"""),"n_jupiter_body_angel.anm2")</f>
        <v>n_jupiter_body_angel.anm2</v>
      </c>
      <c r="B27" s="8">
        <f>IFERROR(__xludf.DUMMYFUNCTION("""COMPUTED_VALUE"""),76.0)</f>
        <v>76</v>
      </c>
      <c r="C27" s="8" t="str">
        <f>IFERROR(__xludf.DUMMYFUNCTION("""COMPUTED_VALUE"""),"none")</f>
        <v>none</v>
      </c>
      <c r="D27" s="8">
        <f>IFERROR(__xludf.DUMMYFUNCTION("""COMPUTED_VALUE"""),101.0)</f>
        <v>101</v>
      </c>
      <c r="E27" s="8" t="str">
        <f>IFERROR(__xludf.DUMMYFUNCTION("""COMPUTED_VALUE"""),"body")</f>
        <v>body</v>
      </c>
      <c r="F27" s="8" t="str">
        <f>IFERROR(__xludf.DUMMYFUNCTION("""COMPUTED_VALUE"""),"")</f>
        <v/>
      </c>
    </row>
    <row r="28" ht="37.5" customHeight="1">
      <c r="A28" s="8" t="str">
        <f>IFERROR(__xludf.DUMMYFUNCTION("""COMPUTED_VALUE"""),"n_jupiter_body_pony.anm2")</f>
        <v>n_jupiter_body_pony.anm2</v>
      </c>
      <c r="B28" s="8">
        <f>IFERROR(__xludf.DUMMYFUNCTION("""COMPUTED_VALUE"""),77.0)</f>
        <v>77</v>
      </c>
      <c r="C28" s="8" t="str">
        <f>IFERROR(__xludf.DUMMYFUNCTION("""COMPUTED_VALUE"""),"none")</f>
        <v>none</v>
      </c>
      <c r="D28" s="8">
        <f>IFERROR(__xludf.DUMMYFUNCTION("""COMPUTED_VALUE"""),101.0)</f>
        <v>101</v>
      </c>
      <c r="E28" s="8" t="str">
        <f>IFERROR(__xludf.DUMMYFUNCTION("""COMPUTED_VALUE"""),"body")</f>
        <v>body</v>
      </c>
      <c r="F28" s="8" t="str">
        <f>IFERROR(__xludf.DUMMYFUNCTION("""COMPUTED_VALUE"""),"")</f>
        <v/>
      </c>
    </row>
    <row r="29" ht="37.5" customHeight="1">
      <c r="A29" s="8" t="str">
        <f>IFERROR(__xludf.DUMMYFUNCTION("""COMPUTED_VALUE"""),"n_jupiter_body_whitepony.anm2")</f>
        <v>n_jupiter_body_whitepony.anm2</v>
      </c>
      <c r="B29" s="8">
        <f>IFERROR(__xludf.DUMMYFUNCTION("""COMPUTED_VALUE"""),78.0)</f>
        <v>78</v>
      </c>
      <c r="C29" s="8" t="str">
        <f>IFERROR(__xludf.DUMMYFUNCTION("""COMPUTED_VALUE"""),"none")</f>
        <v>none</v>
      </c>
      <c r="D29" s="8">
        <f>IFERROR(__xludf.DUMMYFUNCTION("""COMPUTED_VALUE"""),101.0)</f>
        <v>101</v>
      </c>
      <c r="E29" s="8" t="str">
        <f>IFERROR(__xludf.DUMMYFUNCTION("""COMPUTED_VALUE"""),"body")</f>
        <v>body</v>
      </c>
      <c r="F29" s="8" t="str">
        <f>IFERROR(__xludf.DUMMYFUNCTION("""COMPUTED_VALUE"""),"")</f>
        <v/>
      </c>
    </row>
    <row r="30" ht="37.5" customHeight="1">
      <c r="A30" s="8" t="str">
        <f>IFERROR(__xludf.DUMMYFUNCTION("""COMPUTED_VALUE"""),"080_the pact.anm2")</f>
        <v>080_the pact.anm2</v>
      </c>
      <c r="B30" s="8">
        <f>IFERROR(__xludf.DUMMYFUNCTION("""COMPUTED_VALUE"""),80.0)</f>
        <v>80</v>
      </c>
      <c r="C30" s="8" t="str">
        <f>IFERROR(__xludf.DUMMYFUNCTION("""COMPUTED_VALUE"""),"passive")</f>
        <v>passive</v>
      </c>
      <c r="D30" s="8">
        <f>IFERROR(__xludf.DUMMYFUNCTION("""COMPUTED_VALUE"""),0.0)</f>
        <v>0</v>
      </c>
      <c r="E30" s="8" t="str">
        <f>IFERROR(__xludf.DUMMYFUNCTION("""COMPUTED_VALUE"""),"body")</f>
        <v>body</v>
      </c>
      <c r="F30" s="8" t="str">
        <f>IFERROR(__xludf.DUMMYFUNCTION("""COMPUTED_VALUE"""),"")</f>
        <v/>
      </c>
    </row>
    <row r="31" ht="37.5" customHeight="1">
      <c r="A31" s="8" t="str">
        <f>IFERROR(__xludf.DUMMYFUNCTION("""COMPUTED_VALUE"""),"082_lord of the pit.anm2")</f>
        <v>082_lord of the pit.anm2</v>
      </c>
      <c r="B31" s="8">
        <f>IFERROR(__xludf.DUMMYFUNCTION("""COMPUTED_VALUE"""),82.0)</f>
        <v>82</v>
      </c>
      <c r="C31" s="8" t="str">
        <f>IFERROR(__xludf.DUMMYFUNCTION("""COMPUTED_VALUE"""),"passive")</f>
        <v>passive</v>
      </c>
      <c r="D31" s="8">
        <f>IFERROR(__xludf.DUMMYFUNCTION("""COMPUTED_VALUE"""),0.0)</f>
        <v>0</v>
      </c>
      <c r="E31" s="8" t="str">
        <f>IFERROR(__xludf.DUMMYFUNCTION("""COMPUTED_VALUE"""),"body")</f>
        <v>body</v>
      </c>
      <c r="F31" s="8" t="str">
        <f>IFERROR(__xludf.DUMMYFUNCTION("""COMPUTED_VALUE"""),"")</f>
        <v/>
      </c>
    </row>
    <row r="32" ht="37.5" customHeight="1">
      <c r="A32" s="8" t="str">
        <f>IFERROR(__xludf.DUMMYFUNCTION("""COMPUTED_VALUE"""),"083_the nail.anm2")</f>
        <v>083_the nail.anm2</v>
      </c>
      <c r="B32" s="8">
        <f>IFERROR(__xludf.DUMMYFUNCTION("""COMPUTED_VALUE"""),83.0)</f>
        <v>83</v>
      </c>
      <c r="C32" s="8" t="str">
        <f>IFERROR(__xludf.DUMMYFUNCTION("""COMPUTED_VALUE"""),"passive")</f>
        <v>passive</v>
      </c>
      <c r="D32" s="8">
        <f>IFERROR(__xludf.DUMMYFUNCTION("""COMPUTED_VALUE"""),0.0)</f>
        <v>0</v>
      </c>
      <c r="E32" s="8" t="str">
        <f>IFERROR(__xludf.DUMMYFUNCTION("""COMPUTED_VALUE"""),"body")</f>
        <v>body</v>
      </c>
      <c r="F32" s="8" t="str">
        <f>IFERROR(__xludf.DUMMYFUNCTION("""COMPUTED_VALUE"""),"")</f>
        <v/>
      </c>
    </row>
    <row r="33" ht="37.5" customHeight="1">
      <c r="A33" s="8" t="str">
        <f>IFERROR(__xludf.DUMMYFUNCTION("""COMPUTED_VALUE"""),"character_b05_bluebaby.anm2")</f>
        <v>character_b05_bluebaby.anm2</v>
      </c>
      <c r="B33" s="8">
        <f>IFERROR(__xludf.DUMMYFUNCTION("""COMPUTED_VALUE"""),83.0)</f>
        <v>83</v>
      </c>
      <c r="C33" s="8" t="str">
        <f>IFERROR(__xludf.DUMMYFUNCTION("""COMPUTED_VALUE"""),"none")</f>
        <v>none</v>
      </c>
      <c r="D33" s="8">
        <f>IFERROR(__xludf.DUMMYFUNCTION("""COMPUTED_VALUE"""),99.0)</f>
        <v>99</v>
      </c>
      <c r="E33" s="8" t="str">
        <f>IFERROR(__xludf.DUMMYFUNCTION("""COMPUTED_VALUE"""),"body")</f>
        <v>body</v>
      </c>
      <c r="F33" s="8" t="str">
        <f>IFERROR(__xludf.DUMMYFUNCTION("""COMPUTED_VALUE"""),"")</f>
        <v/>
      </c>
    </row>
    <row r="34" ht="37.5" customHeight="1">
      <c r="A34" s="8" t="str">
        <f>IFERROR(__xludf.DUMMYFUNCTION("""COMPUTED_VALUE"""),"character_b08_azazel.anm2")</f>
        <v>character_b08_azazel.anm2</v>
      </c>
      <c r="B34" s="8">
        <f>IFERROR(__xludf.DUMMYFUNCTION("""COMPUTED_VALUE"""),86.0)</f>
        <v>86</v>
      </c>
      <c r="C34" s="8" t="str">
        <f>IFERROR(__xludf.DUMMYFUNCTION("""COMPUTED_VALUE"""),"none")</f>
        <v>none</v>
      </c>
      <c r="D34" s="8">
        <f>IFERROR(__xludf.DUMMYFUNCTION("""COMPUTED_VALUE"""),99.0)</f>
        <v>99</v>
      </c>
      <c r="E34" s="8" t="str">
        <f>IFERROR(__xludf.DUMMYFUNCTION("""COMPUTED_VALUE"""),"body")</f>
        <v>body</v>
      </c>
      <c r="F34" s="8" t="str">
        <f>IFERROR(__xludf.DUMMYFUNCTION("""COMPUTED_VALUE"""),"")</f>
        <v/>
      </c>
    </row>
    <row r="35" ht="37.5" customHeight="1">
      <c r="A35" s="8" t="str">
        <f>IFERROR(__xludf.DUMMYFUNCTION("""COMPUTED_VALUE"""),"character_b12_lilith.anm2")</f>
        <v>character_b12_lilith.anm2</v>
      </c>
      <c r="B35" s="8">
        <f>IFERROR(__xludf.DUMMYFUNCTION("""COMPUTED_VALUE"""),90.0)</f>
        <v>90</v>
      </c>
      <c r="C35" s="8" t="str">
        <f>IFERROR(__xludf.DUMMYFUNCTION("""COMPUTED_VALUE"""),"none")</f>
        <v>none</v>
      </c>
      <c r="D35" s="8">
        <f>IFERROR(__xludf.DUMMYFUNCTION("""COMPUTED_VALUE"""),99.0)</f>
        <v>99</v>
      </c>
      <c r="E35" s="8" t="str">
        <f>IFERROR(__xludf.DUMMYFUNCTION("""COMPUTED_VALUE"""),"body")</f>
        <v>body</v>
      </c>
      <c r="F35" s="8" t="str">
        <f>IFERROR(__xludf.DUMMYFUNCTION("""COMPUTED_VALUE"""),"")</f>
        <v/>
      </c>
    </row>
    <row r="36" ht="37.5" customHeight="1">
      <c r="A36" s="8" t="str">
        <f>IFERROR(__xludf.DUMMYFUNCTION("""COMPUTED_VALUE"""),"character_b14_apollyon.anm2")</f>
        <v>character_b14_apollyon.anm2</v>
      </c>
      <c r="B36" s="8">
        <f>IFERROR(__xludf.DUMMYFUNCTION("""COMPUTED_VALUE"""),92.0)</f>
        <v>92</v>
      </c>
      <c r="C36" s="8" t="str">
        <f>IFERROR(__xludf.DUMMYFUNCTION("""COMPUTED_VALUE"""),"none")</f>
        <v>none</v>
      </c>
      <c r="D36" s="8">
        <f>IFERROR(__xludf.DUMMYFUNCTION("""COMPUTED_VALUE"""),99.0)</f>
        <v>99</v>
      </c>
      <c r="E36" s="8" t="str">
        <f>IFERROR(__xludf.DUMMYFUNCTION("""COMPUTED_VALUE"""),"body")</f>
        <v>body</v>
      </c>
      <c r="F36" s="8" t="str">
        <f>IFERROR(__xludf.DUMMYFUNCTION("""COMPUTED_VALUE"""),"")</f>
        <v/>
      </c>
    </row>
    <row r="37" ht="37.5" customHeight="1">
      <c r="A37" s="8" t="str">
        <f>IFERROR(__xludf.DUMMYFUNCTION("""COMPUTED_VALUE"""),"character_b15_theforgotten.anm2")</f>
        <v>character_b15_theforgotten.anm2</v>
      </c>
      <c r="B37" s="8">
        <f>IFERROR(__xludf.DUMMYFUNCTION("""COMPUTED_VALUE"""),93.0)</f>
        <v>93</v>
      </c>
      <c r="C37" s="8" t="str">
        <f>IFERROR(__xludf.DUMMYFUNCTION("""COMPUTED_VALUE"""),"none")</f>
        <v>none</v>
      </c>
      <c r="D37" s="8">
        <f>IFERROR(__xludf.DUMMYFUNCTION("""COMPUTED_VALUE"""),99.0)</f>
        <v>99</v>
      </c>
      <c r="E37" s="8" t="str">
        <f>IFERROR(__xludf.DUMMYFUNCTION("""COMPUTED_VALUE"""),"body")</f>
        <v>body</v>
      </c>
      <c r="F37" s="8" t="str">
        <f>IFERROR(__xludf.DUMMYFUNCTION("""COMPUTED_VALUE"""),"")</f>
        <v/>
      </c>
    </row>
    <row r="38" ht="37.5" customHeight="1">
      <c r="A38" s="8" t="str">
        <f>IFERROR(__xludf.DUMMYFUNCTION("""COMPUTED_VALUE"""),"n_esau_jr.anm2")</f>
        <v>n_esau_jr.anm2</v>
      </c>
      <c r="B38" s="8">
        <f>IFERROR(__xludf.DUMMYFUNCTION("""COMPUTED_VALUE"""),100.0)</f>
        <v>100</v>
      </c>
      <c r="C38" s="8" t="str">
        <f>IFERROR(__xludf.DUMMYFUNCTION("""COMPUTED_VALUE"""),"none")</f>
        <v>none</v>
      </c>
      <c r="D38" s="8">
        <f>IFERROR(__xludf.DUMMYFUNCTION("""COMPUTED_VALUE"""),0.0)</f>
        <v>0</v>
      </c>
      <c r="E38" s="8" t="str">
        <f>IFERROR(__xludf.DUMMYFUNCTION("""COMPUTED_VALUE"""),"body")</f>
        <v>body</v>
      </c>
      <c r="F38" s="8" t="str">
        <f>IFERROR(__xludf.DUMMYFUNCTION("""COMPUTED_VALUE"""),"")</f>
        <v/>
      </c>
    </row>
    <row r="39" ht="37.5" customHeight="1">
      <c r="A39" s="8" t="str">
        <f>IFERROR(__xludf.DUMMYFUNCTION("""COMPUTED_VALUE"""),"n_spiritshackles_ghost.anm2")</f>
        <v>n_spiritshackles_ghost.anm2</v>
      </c>
      <c r="B39" s="8">
        <f>IFERROR(__xludf.DUMMYFUNCTION("""COMPUTED_VALUE"""),101.0)</f>
        <v>101</v>
      </c>
      <c r="C39" s="8" t="str">
        <f>IFERROR(__xludf.DUMMYFUNCTION("""COMPUTED_VALUE"""),"none")</f>
        <v>none</v>
      </c>
      <c r="D39" s="8">
        <f>IFERROR(__xludf.DUMMYFUNCTION("""COMPUTED_VALUE"""),0.0)</f>
        <v>0</v>
      </c>
      <c r="E39" s="8" t="str">
        <f>IFERROR(__xludf.DUMMYFUNCTION("""COMPUTED_VALUE"""),"body")</f>
        <v>body</v>
      </c>
      <c r="F39" s="8" t="str">
        <f>IFERROR(__xludf.DUMMYFUNCTION("""COMPUTED_VALUE"""),"")</f>
        <v/>
      </c>
    </row>
    <row r="40" ht="37.5" customHeight="1">
      <c r="A40" s="8" t="str">
        <f>IFERROR(__xludf.DUMMYFUNCTION("""COMPUTED_VALUE"""),"n_forgotten_bomb.anm2")</f>
        <v>n_forgotten_bomb.anm2</v>
      </c>
      <c r="B40" s="8">
        <f>IFERROR(__xludf.DUMMYFUNCTION("""COMPUTED_VALUE"""),106.0)</f>
        <v>106</v>
      </c>
      <c r="C40" s="8" t="str">
        <f>IFERROR(__xludf.DUMMYFUNCTION("""COMPUTED_VALUE"""),"none")</f>
        <v>none</v>
      </c>
      <c r="D40" s="8">
        <f>IFERROR(__xludf.DUMMYFUNCTION("""COMPUTED_VALUE"""),101.0)</f>
        <v>101</v>
      </c>
      <c r="E40" s="8" t="str">
        <f>IFERROR(__xludf.DUMMYFUNCTION("""COMPUTED_VALUE"""),"body")</f>
        <v>body</v>
      </c>
      <c r="F40" s="8" t="str">
        <f>IFERROR(__xludf.DUMMYFUNCTION("""COMPUTED_VALUE"""),"")</f>
        <v/>
      </c>
    </row>
    <row r="41" ht="37.5" customHeight="1">
      <c r="A41" s="8" t="str">
        <f>IFERROR(__xludf.DUMMYFUNCTION("""COMPUTED_VALUE"""),"n_lost_curse.anm2")</f>
        <v>n_lost_curse.anm2</v>
      </c>
      <c r="B41" s="8">
        <f>IFERROR(__xludf.DUMMYFUNCTION("""COMPUTED_VALUE"""),112.0)</f>
        <v>112</v>
      </c>
      <c r="C41" s="8" t="str">
        <f>IFERROR(__xludf.DUMMYFUNCTION("""COMPUTED_VALUE"""),"none")</f>
        <v>none</v>
      </c>
      <c r="D41" s="8">
        <f>IFERROR(__xludf.DUMMYFUNCTION("""COMPUTED_VALUE"""),99.0)</f>
        <v>99</v>
      </c>
      <c r="E41" s="8" t="str">
        <f>IFERROR(__xludf.DUMMYFUNCTION("""COMPUTED_VALUE"""),"body")</f>
        <v>body</v>
      </c>
      <c r="F41" s="8" t="str">
        <f>IFERROR(__xludf.DUMMYFUNCTION("""COMPUTED_VALUE"""),"")</f>
        <v/>
      </c>
    </row>
    <row r="42" ht="37.5" customHeight="1">
      <c r="A42" s="8" t="str">
        <f>IFERROR(__xludf.DUMMYFUNCTION("""COMPUTED_VALUE"""),"118_brimstone.anm2")</f>
        <v>118_brimstone.anm2</v>
      </c>
      <c r="B42" s="8">
        <f>IFERROR(__xludf.DUMMYFUNCTION("""COMPUTED_VALUE"""),118.0)</f>
        <v>118</v>
      </c>
      <c r="C42" s="8" t="str">
        <f>IFERROR(__xludf.DUMMYFUNCTION("""COMPUTED_VALUE"""),"passive")</f>
        <v>passive</v>
      </c>
      <c r="D42" s="8">
        <f>IFERROR(__xludf.DUMMYFUNCTION("""COMPUTED_VALUE"""),23.0)</f>
        <v>23</v>
      </c>
      <c r="E42" s="8" t="str">
        <f>IFERROR(__xludf.DUMMYFUNCTION("""COMPUTED_VALUE"""),"body")</f>
        <v>body</v>
      </c>
      <c r="F42" s="8" t="str">
        <f>IFERROR(__xludf.DUMMYFUNCTION("""COMPUTED_VALUE"""),"")</f>
        <v/>
      </c>
    </row>
    <row r="43" ht="37.5" customHeight="1">
      <c r="A43" s="8" t="str">
        <f>IFERROR(__xludf.DUMMYFUNCTION("""COMPUTED_VALUE"""),"122_whore of babylon.anm2")</f>
        <v>122_whore of babylon.anm2</v>
      </c>
      <c r="B43" s="8">
        <f>IFERROR(__xludf.DUMMYFUNCTION("""COMPUTED_VALUE"""),122.0)</f>
        <v>122</v>
      </c>
      <c r="C43" s="8" t="str">
        <f>IFERROR(__xludf.DUMMYFUNCTION("""COMPUTED_VALUE"""),"passive")</f>
        <v>passive</v>
      </c>
      <c r="D43" s="8">
        <f>IFERROR(__xludf.DUMMYFUNCTION("""COMPUTED_VALUE"""),1.0)</f>
        <v>1</v>
      </c>
      <c r="E43" s="8" t="str">
        <f>IFERROR(__xludf.DUMMYFUNCTION("""COMPUTED_VALUE"""),"body")</f>
        <v>body</v>
      </c>
      <c r="F43" s="8" t="str">
        <f>IFERROR(__xludf.DUMMYFUNCTION("""COMPUTED_VALUE"""),"")</f>
        <v/>
      </c>
    </row>
    <row r="44" ht="37.5" customHeight="1">
      <c r="A44" s="8" t="str">
        <f>IFERROR(__xludf.DUMMYFUNCTION("""COMPUTED_VALUE"""),"130_pony.anm2")</f>
        <v>130_pony.anm2</v>
      </c>
      <c r="B44" s="8">
        <f>IFERROR(__xludf.DUMMYFUNCTION("""COMPUTED_VALUE"""),130.0)</f>
        <v>130</v>
      </c>
      <c r="C44" s="8" t="str">
        <f>IFERROR(__xludf.DUMMYFUNCTION("""COMPUTED_VALUE"""),"passive")</f>
        <v>passive</v>
      </c>
      <c r="D44" s="8">
        <f>IFERROR(__xludf.DUMMYFUNCTION("""COMPUTED_VALUE"""),23.0)</f>
        <v>23</v>
      </c>
      <c r="E44" s="8" t="str">
        <f>IFERROR(__xludf.DUMMYFUNCTION("""COMPUTED_VALUE"""),"body")</f>
        <v>body</v>
      </c>
      <c r="F44" s="8" t="str">
        <f>IFERROR(__xludf.DUMMYFUNCTION("""COMPUTED_VALUE"""),"")</f>
        <v/>
      </c>
    </row>
    <row r="45" ht="37.5" customHeight="1">
      <c r="A45" s="8" t="str">
        <f>IFERROR(__xludf.DUMMYFUNCTION("""COMPUTED_VALUE"""),"148_infestation.anm2")</f>
        <v>148_infestation.anm2</v>
      </c>
      <c r="B45" s="8">
        <f>IFERROR(__xludf.DUMMYFUNCTION("""COMPUTED_VALUE"""),148.0)</f>
        <v>148</v>
      </c>
      <c r="C45" s="8" t="str">
        <f>IFERROR(__xludf.DUMMYFUNCTION("""COMPUTED_VALUE"""),"passive")</f>
        <v>passive</v>
      </c>
      <c r="D45" s="8">
        <f>IFERROR(__xludf.DUMMYFUNCTION("""COMPUTED_VALUE"""),0.0)</f>
        <v>0</v>
      </c>
      <c r="E45" s="8" t="str">
        <f>IFERROR(__xludf.DUMMYFUNCTION("""COMPUTED_VALUE"""),"body")</f>
        <v>body</v>
      </c>
      <c r="F45" s="8" t="str">
        <f>IFERROR(__xludf.DUMMYFUNCTION("""COMPUTED_VALUE"""),"")</f>
        <v/>
      </c>
    </row>
    <row r="46" ht="37.5" customHeight="1">
      <c r="A46" s="8" t="str">
        <f>IFERROR(__xludf.DUMMYFUNCTION("""COMPUTED_VALUE"""),"159_spirit of the night.anm2")</f>
        <v>159_spirit of the night.anm2</v>
      </c>
      <c r="B46" s="8">
        <f>IFERROR(__xludf.DUMMYFUNCTION("""COMPUTED_VALUE"""),159.0)</f>
        <v>159</v>
      </c>
      <c r="C46" s="8" t="str">
        <f>IFERROR(__xludf.DUMMYFUNCTION("""COMPUTED_VALUE"""),"passive")</f>
        <v>passive</v>
      </c>
      <c r="D46" s="8">
        <f>IFERROR(__xludf.DUMMYFUNCTION("""COMPUTED_VALUE"""),0.0)</f>
        <v>0</v>
      </c>
      <c r="E46" s="8" t="str">
        <f>IFERROR(__xludf.DUMMYFUNCTION("""COMPUTED_VALUE"""),"body")</f>
        <v>body</v>
      </c>
      <c r="F46" s="8" t="str">
        <f>IFERROR(__xludf.DUMMYFUNCTION("""COMPUTED_VALUE"""),"")</f>
        <v/>
      </c>
    </row>
    <row r="47" ht="37.5" customHeight="1">
      <c r="A47" s="8" t="str">
        <f>IFERROR(__xludf.DUMMYFUNCTION("""COMPUTED_VALUE"""),"character_008_azazelhead.anm2")</f>
        <v>character_008_azazelhead.anm2</v>
      </c>
      <c r="B47" s="8">
        <f>IFERROR(__xludf.DUMMYFUNCTION("""COMPUTED_VALUE"""),162.0)</f>
        <v>162</v>
      </c>
      <c r="C47" s="8" t="str">
        <f>IFERROR(__xludf.DUMMYFUNCTION("""COMPUTED_VALUE"""),"trinket")</f>
        <v>trinket</v>
      </c>
      <c r="D47" s="8">
        <f>IFERROR(__xludf.DUMMYFUNCTION("""COMPUTED_VALUE"""),23.0)</f>
        <v>23</v>
      </c>
      <c r="E47" s="8" t="str">
        <f>IFERROR(__xludf.DUMMYFUNCTION("""COMPUTED_VALUE"""),"body")</f>
        <v>body</v>
      </c>
      <c r="F47" s="8" t="str">
        <f>IFERROR(__xludf.DUMMYFUNCTION("""COMPUTED_VALUE"""),"")</f>
        <v/>
      </c>
    </row>
    <row r="48" ht="37.5" customHeight="1">
      <c r="A48" s="8" t="str">
        <f>IFERROR(__xludf.DUMMYFUNCTION("""COMPUTED_VALUE"""),"181_white pony.anm2")</f>
        <v>181_white pony.anm2</v>
      </c>
      <c r="B48" s="8">
        <f>IFERROR(__xludf.DUMMYFUNCTION("""COMPUTED_VALUE"""),181.0)</f>
        <v>181</v>
      </c>
      <c r="C48" s="8" t="str">
        <f>IFERROR(__xludf.DUMMYFUNCTION("""COMPUTED_VALUE"""),"passive")</f>
        <v>passive</v>
      </c>
      <c r="D48" s="8">
        <f>IFERROR(__xludf.DUMMYFUNCTION("""COMPUTED_VALUE"""),23.0)</f>
        <v>23</v>
      </c>
      <c r="E48" s="8" t="str">
        <f>IFERROR(__xludf.DUMMYFUNCTION("""COMPUTED_VALUE"""),"body")</f>
        <v>body</v>
      </c>
      <c r="F48" s="8" t="str">
        <f>IFERROR(__xludf.DUMMYFUNCTION("""COMPUTED_VALUE"""),"")</f>
        <v/>
      </c>
    </row>
    <row r="49" ht="37.5" customHeight="1">
      <c r="A49" s="8" t="str">
        <f>IFERROR(__xludf.DUMMYFUNCTION("""COMPUTED_VALUE"""),"184_holy grail.anm2")</f>
        <v>184_holy grail.anm2</v>
      </c>
      <c r="B49" s="8">
        <f>IFERROR(__xludf.DUMMYFUNCTION("""COMPUTED_VALUE"""),184.0)</f>
        <v>184</v>
      </c>
      <c r="C49" s="8" t="str">
        <f>IFERROR(__xludf.DUMMYFUNCTION("""COMPUTED_VALUE"""),"passive")</f>
        <v>passive</v>
      </c>
      <c r="D49" s="8">
        <f>IFERROR(__xludf.DUMMYFUNCTION("""COMPUTED_VALUE"""),0.0)</f>
        <v>0</v>
      </c>
      <c r="E49" s="8" t="str">
        <f>IFERROR(__xludf.DUMMYFUNCTION("""COMPUTED_VALUE"""),"body")</f>
        <v>body</v>
      </c>
      <c r="F49" s="8" t="str">
        <f>IFERROR(__xludf.DUMMYFUNCTION("""COMPUTED_VALUE"""),"")</f>
        <v/>
      </c>
    </row>
    <row r="50" ht="37.5" customHeight="1">
      <c r="A50" s="8" t="str">
        <f>IFERROR(__xludf.DUMMYFUNCTION("""COMPUTED_VALUE"""),"185_dead dove.anm2")</f>
        <v>185_dead dove.anm2</v>
      </c>
      <c r="B50" s="8">
        <f>IFERROR(__xludf.DUMMYFUNCTION("""COMPUTED_VALUE"""),185.0)</f>
        <v>185</v>
      </c>
      <c r="C50" s="8" t="str">
        <f>IFERROR(__xludf.DUMMYFUNCTION("""COMPUTED_VALUE"""),"passive")</f>
        <v>passive</v>
      </c>
      <c r="D50" s="8">
        <f>IFERROR(__xludf.DUMMYFUNCTION("""COMPUTED_VALUE"""),0.0)</f>
        <v>0</v>
      </c>
      <c r="E50" s="8" t="str">
        <f>IFERROR(__xludf.DUMMYFUNCTION("""COMPUTED_VALUE"""),"body")</f>
        <v>body</v>
      </c>
      <c r="F50" s="8" t="str">
        <f>IFERROR(__xludf.DUMMYFUNCTION("""COMPUTED_VALUE"""),"")</f>
        <v/>
      </c>
    </row>
    <row r="51" ht="37.5" customHeight="1">
      <c r="A51" s="8" t="str">
        <f>IFERROR(__xludf.DUMMYFUNCTION("""COMPUTED_VALUE"""),"189_smb super fan.anm2")</f>
        <v>189_smb super fan.anm2</v>
      </c>
      <c r="B51" s="8">
        <f>IFERROR(__xludf.DUMMYFUNCTION("""COMPUTED_VALUE"""),189.0)</f>
        <v>189</v>
      </c>
      <c r="C51" s="8" t="str">
        <f>IFERROR(__xludf.DUMMYFUNCTION("""COMPUTED_VALUE"""),"passive")</f>
        <v>passive</v>
      </c>
      <c r="D51" s="8">
        <f>IFERROR(__xludf.DUMMYFUNCTION("""COMPUTED_VALUE"""),0.0)</f>
        <v>0</v>
      </c>
      <c r="E51" s="8" t="str">
        <f>IFERROR(__xludf.DUMMYFUNCTION("""COMPUTED_VALUE"""),"body")</f>
        <v>body</v>
      </c>
      <c r="F51" s="8" t="str">
        <f>IFERROR(__xludf.DUMMYFUNCTION("""COMPUTED_VALUE"""),"")</f>
        <v/>
      </c>
    </row>
    <row r="52" ht="37.5" customHeight="1">
      <c r="A52" s="8" t="str">
        <f>IFERROR(__xludf.DUMMYFUNCTION("""COMPUTED_VALUE"""),"202_midastouch.anm2")</f>
        <v>202_midastouch.anm2</v>
      </c>
      <c r="B52" s="8">
        <f>IFERROR(__xludf.DUMMYFUNCTION("""COMPUTED_VALUE"""),202.0)</f>
        <v>202</v>
      </c>
      <c r="C52" s="8" t="str">
        <f>IFERROR(__xludf.DUMMYFUNCTION("""COMPUTED_VALUE"""),"passive")</f>
        <v>passive</v>
      </c>
      <c r="D52" s="8">
        <f>IFERROR(__xludf.DUMMYFUNCTION("""COMPUTED_VALUE"""),0.0)</f>
        <v>0</v>
      </c>
      <c r="E52" s="8" t="str">
        <f>IFERROR(__xludf.DUMMYFUNCTION("""COMPUTED_VALUE"""),"body")</f>
        <v>body</v>
      </c>
      <c r="F52" s="8" t="str">
        <f>IFERROR(__xludf.DUMMYFUNCTION("""COMPUTED_VALUE"""),"")</f>
        <v/>
      </c>
    </row>
    <row r="53" ht="37.5" customHeight="1">
      <c r="A53" s="8" t="str">
        <f>IFERROR(__xludf.DUMMYFUNCTION("""COMPUTED_VALUE"""),"222_antigravity.anm2")</f>
        <v>222_antigravity.anm2</v>
      </c>
      <c r="B53" s="8">
        <f>IFERROR(__xludf.DUMMYFUNCTION("""COMPUTED_VALUE"""),222.0)</f>
        <v>222</v>
      </c>
      <c r="C53" s="8" t="str">
        <f>IFERROR(__xludf.DUMMYFUNCTION("""COMPUTED_VALUE"""),"passive")</f>
        <v>passive</v>
      </c>
      <c r="D53" s="8">
        <f>IFERROR(__xludf.DUMMYFUNCTION("""COMPUTED_VALUE"""),0.0)</f>
        <v>0</v>
      </c>
      <c r="E53" s="8" t="str">
        <f>IFERROR(__xludf.DUMMYFUNCTION("""COMPUTED_VALUE"""),"body")</f>
        <v>body</v>
      </c>
      <c r="F53" s="8" t="str">
        <f>IFERROR(__xludf.DUMMYFUNCTION("""COMPUTED_VALUE"""),"")</f>
        <v/>
      </c>
    </row>
    <row r="54" ht="37.5" customHeight="1">
      <c r="A54" s="8" t="str">
        <f>IFERROR(__xludf.DUMMYFUNCTION("""COMPUTED_VALUE"""),"227_piggybank.anm2")</f>
        <v>227_piggybank.anm2</v>
      </c>
      <c r="B54" s="8">
        <f>IFERROR(__xludf.DUMMYFUNCTION("""COMPUTED_VALUE"""),227.0)</f>
        <v>227</v>
      </c>
      <c r="C54" s="8" t="str">
        <f>IFERROR(__xludf.DUMMYFUNCTION("""COMPUTED_VALUE"""),"passive")</f>
        <v>passive</v>
      </c>
      <c r="D54" s="8">
        <f>IFERROR(__xludf.DUMMYFUNCTION("""COMPUTED_VALUE"""),0.0)</f>
        <v>0</v>
      </c>
      <c r="E54" s="8" t="str">
        <f>IFERROR(__xludf.DUMMYFUNCTION("""COMPUTED_VALUE"""),"body")</f>
        <v>body</v>
      </c>
      <c r="F54" s="8" t="str">
        <f>IFERROR(__xludf.DUMMYFUNCTION("""COMPUTED_VALUE"""),"")</f>
        <v/>
      </c>
    </row>
    <row r="55" ht="37.5" customHeight="1">
      <c r="A55" s="8" t="str">
        <f>IFERROR(__xludf.DUMMYFUNCTION("""COMPUTED_VALUE"""),"230_abaddon.anm2")</f>
        <v>230_abaddon.anm2</v>
      </c>
      <c r="B55" s="8">
        <f>IFERROR(__xludf.DUMMYFUNCTION("""COMPUTED_VALUE"""),230.0)</f>
        <v>230</v>
      </c>
      <c r="C55" s="8" t="str">
        <f>IFERROR(__xludf.DUMMYFUNCTION("""COMPUTED_VALUE"""),"passive")</f>
        <v>passive</v>
      </c>
      <c r="D55" s="8">
        <f>IFERROR(__xludf.DUMMYFUNCTION("""COMPUTED_VALUE"""),0.0)</f>
        <v>0</v>
      </c>
      <c r="E55" s="8" t="str">
        <f>IFERROR(__xludf.DUMMYFUNCTION("""COMPUTED_VALUE"""),"body")</f>
        <v>body</v>
      </c>
      <c r="F55" s="8" t="str">
        <f>IFERROR(__xludf.DUMMYFUNCTION("""COMPUTED_VALUE"""),"")</f>
        <v/>
      </c>
    </row>
    <row r="56" ht="37.5" customHeight="1">
      <c r="A56" s="8" t="str">
        <f>IFERROR(__xludf.DUMMYFUNCTION("""COMPUTED_VALUE"""),"231_balloftar.anm2")</f>
        <v>231_balloftar.anm2</v>
      </c>
      <c r="B56" s="8">
        <f>IFERROR(__xludf.DUMMYFUNCTION("""COMPUTED_VALUE"""),231.0)</f>
        <v>231</v>
      </c>
      <c r="C56" s="8" t="str">
        <f>IFERROR(__xludf.DUMMYFUNCTION("""COMPUTED_VALUE"""),"passive")</f>
        <v>passive</v>
      </c>
      <c r="D56" s="8">
        <f>IFERROR(__xludf.DUMMYFUNCTION("""COMPUTED_VALUE"""),0.0)</f>
        <v>0</v>
      </c>
      <c r="E56" s="8" t="str">
        <f>IFERROR(__xludf.DUMMYFUNCTION("""COMPUTED_VALUE"""),"body")</f>
        <v>body</v>
      </c>
      <c r="F56" s="8" t="str">
        <f>IFERROR(__xludf.DUMMYFUNCTION("""COMPUTED_VALUE"""),"")</f>
        <v/>
      </c>
    </row>
    <row r="57" ht="37.5" customHeight="1">
      <c r="A57" s="8" t="str">
        <f>IFERROR(__xludf.DUMMYFUNCTION("""COMPUTED_VALUE"""),"250_bogobombs.anm2")</f>
        <v>250_bogobombs.anm2</v>
      </c>
      <c r="B57" s="8">
        <f>IFERROR(__xludf.DUMMYFUNCTION("""COMPUTED_VALUE"""),250.0)</f>
        <v>250</v>
      </c>
      <c r="C57" s="8" t="str">
        <f>IFERROR(__xludf.DUMMYFUNCTION("""COMPUTED_VALUE"""),"passive")</f>
        <v>passive</v>
      </c>
      <c r="D57" s="8">
        <f>IFERROR(__xludf.DUMMYFUNCTION("""COMPUTED_VALUE"""),0.0)</f>
        <v>0</v>
      </c>
      <c r="E57" s="8" t="str">
        <f>IFERROR(__xludf.DUMMYFUNCTION("""COMPUTED_VALUE"""),"body")</f>
        <v>body</v>
      </c>
      <c r="F57" s="8" t="str">
        <f>IFERROR(__xludf.DUMMYFUNCTION("""COMPUTED_VALUE"""),"")</f>
        <v/>
      </c>
    </row>
    <row r="58" ht="37.5" customHeight="1">
      <c r="A58" s="8" t="str">
        <f>IFERROR(__xludf.DUMMYFUNCTION("""COMPUTED_VALUE"""),"301_cancer.anm2")</f>
        <v>301_cancer.anm2</v>
      </c>
      <c r="B58" s="8">
        <f>IFERROR(__xludf.DUMMYFUNCTION("""COMPUTED_VALUE"""),301.0)</f>
        <v>301</v>
      </c>
      <c r="C58" s="8" t="str">
        <f>IFERROR(__xludf.DUMMYFUNCTION("""COMPUTED_VALUE"""),"passive")</f>
        <v>passive</v>
      </c>
      <c r="D58" s="8">
        <f>IFERROR(__xludf.DUMMYFUNCTION("""COMPUTED_VALUE"""),0.0)</f>
        <v>0</v>
      </c>
      <c r="E58" s="8" t="str">
        <f>IFERROR(__xludf.DUMMYFUNCTION("""COMPUTED_VALUE"""),"body")</f>
        <v>body</v>
      </c>
      <c r="F58" s="8" t="str">
        <f>IFERROR(__xludf.DUMMYFUNCTION("""COMPUTED_VALUE"""),"")</f>
        <v/>
      </c>
    </row>
    <row r="59" ht="37.5" customHeight="1">
      <c r="A59" s="8" t="str">
        <f>IFERROR(__xludf.DUMMYFUNCTION("""COMPUTED_VALUE"""),"304_libra.anm2")</f>
        <v>304_libra.anm2</v>
      </c>
      <c r="B59" s="8">
        <f>IFERROR(__xludf.DUMMYFUNCTION("""COMPUTED_VALUE"""),304.0)</f>
        <v>304</v>
      </c>
      <c r="C59" s="8" t="str">
        <f>IFERROR(__xludf.DUMMYFUNCTION("""COMPUTED_VALUE"""),"passive")</f>
        <v>passive</v>
      </c>
      <c r="D59" s="8">
        <f>IFERROR(__xludf.DUMMYFUNCTION("""COMPUTED_VALUE"""),0.0)</f>
        <v>0</v>
      </c>
      <c r="E59" s="8" t="str">
        <f>IFERROR(__xludf.DUMMYFUNCTION("""COMPUTED_VALUE"""),"body")</f>
        <v>body</v>
      </c>
      <c r="F59" s="8" t="str">
        <f>IFERROR(__xludf.DUMMYFUNCTION("""COMPUTED_VALUE"""),"")</f>
        <v/>
      </c>
    </row>
    <row r="60" ht="37.5" customHeight="1">
      <c r="A60" s="8" t="str">
        <f>IFERROR(__xludf.DUMMYFUNCTION("""COMPUTED_VALUE"""),"306_sagittarius.anm2")</f>
        <v>306_sagittarius.anm2</v>
      </c>
      <c r="B60" s="8">
        <f>IFERROR(__xludf.DUMMYFUNCTION("""COMPUTED_VALUE"""),306.0)</f>
        <v>306</v>
      </c>
      <c r="C60" s="8" t="str">
        <f>IFERROR(__xludf.DUMMYFUNCTION("""COMPUTED_VALUE"""),"passive")</f>
        <v>passive</v>
      </c>
      <c r="D60" s="8">
        <f>IFERROR(__xludf.DUMMYFUNCTION("""COMPUTED_VALUE"""),0.0)</f>
        <v>0</v>
      </c>
      <c r="E60" s="8" t="str">
        <f>IFERROR(__xludf.DUMMYFUNCTION("""COMPUTED_VALUE"""),"body")</f>
        <v>body</v>
      </c>
      <c r="F60" s="8" t="str">
        <f>IFERROR(__xludf.DUMMYFUNCTION("""COMPUTED_VALUE"""),"")</f>
        <v/>
      </c>
    </row>
    <row r="61" ht="37.5" customHeight="1">
      <c r="A61" s="8" t="str">
        <f>IFERROR(__xludf.DUMMYFUNCTION("""COMPUTED_VALUE"""),"309_pisces.anm2")</f>
        <v>309_pisces.anm2</v>
      </c>
      <c r="B61" s="8">
        <f>IFERROR(__xludf.DUMMYFUNCTION("""COMPUTED_VALUE"""),309.0)</f>
        <v>309</v>
      </c>
      <c r="C61" s="8" t="str">
        <f>IFERROR(__xludf.DUMMYFUNCTION("""COMPUTED_VALUE"""),"passive")</f>
        <v>passive</v>
      </c>
      <c r="D61" s="8">
        <f>IFERROR(__xludf.DUMMYFUNCTION("""COMPUTED_VALUE"""),0.0)</f>
        <v>0</v>
      </c>
      <c r="E61" s="8" t="str">
        <f>IFERROR(__xludf.DUMMYFUNCTION("""COMPUTED_VALUE"""),"body")</f>
        <v>body</v>
      </c>
      <c r="F61" s="8" t="str">
        <f>IFERROR(__xludf.DUMMYFUNCTION("""COMPUTED_VALUE"""),"")</f>
        <v/>
      </c>
    </row>
    <row r="62" ht="37.5" customHeight="1">
      <c r="A62" s="8" t="str">
        <f>IFERROR(__xludf.DUMMYFUNCTION("""COMPUTED_VALUE"""),"311_judasshadow.anm2")</f>
        <v>311_judasshadow.anm2</v>
      </c>
      <c r="B62" s="8">
        <f>IFERROR(__xludf.DUMMYFUNCTION("""COMPUTED_VALUE"""),311.0)</f>
        <v>311</v>
      </c>
      <c r="C62" s="8" t="str">
        <f>IFERROR(__xludf.DUMMYFUNCTION("""COMPUTED_VALUE"""),"passive")</f>
        <v>passive</v>
      </c>
      <c r="D62" s="8">
        <f>IFERROR(__xludf.DUMMYFUNCTION("""COMPUTED_VALUE"""),0.0)</f>
        <v>0</v>
      </c>
      <c r="E62" s="8" t="str">
        <f>IFERROR(__xludf.DUMMYFUNCTION("""COMPUTED_VALUE"""),"body")</f>
        <v>body</v>
      </c>
      <c r="F62" s="8" t="str">
        <f>IFERROR(__xludf.DUMMYFUNCTION("""COMPUTED_VALUE"""),"")</f>
        <v/>
      </c>
    </row>
    <row r="63" ht="37.5" customHeight="1">
      <c r="A63" s="8" t="str">
        <f>IFERROR(__xludf.DUMMYFUNCTION("""COMPUTED_VALUE"""),"314_thunderthighs.anm2")</f>
        <v>314_thunderthighs.anm2</v>
      </c>
      <c r="B63" s="8">
        <f>IFERROR(__xludf.DUMMYFUNCTION("""COMPUTED_VALUE"""),314.0)</f>
        <v>314</v>
      </c>
      <c r="C63" s="8" t="str">
        <f>IFERROR(__xludf.DUMMYFUNCTION("""COMPUTED_VALUE"""),"passive")</f>
        <v>passive</v>
      </c>
      <c r="D63" s="8">
        <f>IFERROR(__xludf.DUMMYFUNCTION("""COMPUTED_VALUE"""),0.0)</f>
        <v>0</v>
      </c>
      <c r="E63" s="8" t="str">
        <f>IFERROR(__xludf.DUMMYFUNCTION("""COMPUTED_VALUE"""),"body")</f>
        <v>body</v>
      </c>
      <c r="F63" s="8" t="str">
        <f>IFERROR(__xludf.DUMMYFUNCTION("""COMPUTED_VALUE"""),"")</f>
        <v/>
      </c>
    </row>
    <row r="64" ht="37.5" customHeight="1">
      <c r="A64" s="8" t="str">
        <f>IFERROR(__xludf.DUMMYFUNCTION("""COMPUTED_VALUE"""),"334_body.anm2")</f>
        <v>334_body.anm2</v>
      </c>
      <c r="B64" s="8">
        <f>IFERROR(__xludf.DUMMYFUNCTION("""COMPUTED_VALUE"""),334.0)</f>
        <v>334</v>
      </c>
      <c r="C64" s="8" t="str">
        <f>IFERROR(__xludf.DUMMYFUNCTION("""COMPUTED_VALUE"""),"passive")</f>
        <v>passive</v>
      </c>
      <c r="D64" s="8">
        <f>IFERROR(__xludf.DUMMYFUNCTION("""COMPUTED_VALUE"""),0.0)</f>
        <v>0</v>
      </c>
      <c r="E64" s="8" t="str">
        <f>IFERROR(__xludf.DUMMYFUNCTION("""COMPUTED_VALUE"""),"body")</f>
        <v>body</v>
      </c>
      <c r="F64" s="8" t="str">
        <f>IFERROR(__xludf.DUMMYFUNCTION("""COMPUTED_VALUE"""),"")</f>
        <v/>
      </c>
    </row>
    <row r="65" ht="37.5" customHeight="1">
      <c r="A65" s="8" t="str">
        <f>IFERROR(__xludf.DUMMYFUNCTION("""COMPUTED_VALUE"""),"340_caffeine pill.anm2")</f>
        <v>340_caffeine pill.anm2</v>
      </c>
      <c r="B65" s="8">
        <f>IFERROR(__xludf.DUMMYFUNCTION("""COMPUTED_VALUE"""),340.0)</f>
        <v>340</v>
      </c>
      <c r="C65" s="8" t="str">
        <f>IFERROR(__xludf.DUMMYFUNCTION("""COMPUTED_VALUE"""),"passive")</f>
        <v>passive</v>
      </c>
      <c r="D65" s="8">
        <f>IFERROR(__xludf.DUMMYFUNCTION("""COMPUTED_VALUE"""),0.0)</f>
        <v>0</v>
      </c>
      <c r="E65" s="8" t="str">
        <f>IFERROR(__xludf.DUMMYFUNCTION("""COMPUTED_VALUE"""),"body")</f>
        <v>body</v>
      </c>
      <c r="F65" s="8" t="str">
        <f>IFERROR(__xludf.DUMMYFUNCTION("""COMPUTED_VALUE"""),"")</f>
        <v/>
      </c>
    </row>
    <row r="66" ht="37.5" customHeight="1">
      <c r="A66" s="8" t="str">
        <f>IFERROR(__xludf.DUMMYFUNCTION("""COMPUTED_VALUE"""),"345_synthoil.anm2")</f>
        <v>345_synthoil.anm2</v>
      </c>
      <c r="B66" s="8">
        <f>IFERROR(__xludf.DUMMYFUNCTION("""COMPUTED_VALUE"""),345.0)</f>
        <v>345</v>
      </c>
      <c r="C66" s="8" t="str">
        <f>IFERROR(__xludf.DUMMYFUNCTION("""COMPUTED_VALUE"""),"passive")</f>
        <v>passive</v>
      </c>
      <c r="D66" s="8">
        <f>IFERROR(__xludf.DUMMYFUNCTION("""COMPUTED_VALUE"""),0.0)</f>
        <v>0</v>
      </c>
      <c r="E66" s="8" t="str">
        <f>IFERROR(__xludf.DUMMYFUNCTION("""COMPUTED_VALUE"""),"body")</f>
        <v>body</v>
      </c>
      <c r="F66" s="8" t="str">
        <f>IFERROR(__xludf.DUMMYFUNCTION("""COMPUTED_VALUE"""),"")</f>
        <v/>
      </c>
    </row>
    <row r="67" ht="37.5" customHeight="1">
      <c r="A67" s="8" t="str">
        <f>IFERROR(__xludf.DUMMYFUNCTION("""COMPUTED_VALUE"""),"356_carbattery.anm2")</f>
        <v>356_carbattery.anm2</v>
      </c>
      <c r="B67" s="8">
        <f>IFERROR(__xludf.DUMMYFUNCTION("""COMPUTED_VALUE"""),356.0)</f>
        <v>356</v>
      </c>
      <c r="C67" s="8" t="str">
        <f>IFERROR(__xludf.DUMMYFUNCTION("""COMPUTED_VALUE"""),"passive")</f>
        <v>passive</v>
      </c>
      <c r="D67" s="8">
        <f>IFERROR(__xludf.DUMMYFUNCTION("""COMPUTED_VALUE"""),0.0)</f>
        <v>0</v>
      </c>
      <c r="E67" s="8" t="str">
        <f>IFERROR(__xludf.DUMMYFUNCTION("""COMPUTED_VALUE"""),"body")</f>
        <v>body</v>
      </c>
      <c r="F67" s="8" t="str">
        <f>IFERROR(__xludf.DUMMYFUNCTION("""COMPUTED_VALUE"""),"")</f>
        <v/>
      </c>
    </row>
    <row r="68" ht="37.5" customHeight="1">
      <c r="A68" s="8" t="str">
        <f>IFERROR(__xludf.DUMMYFUNCTION("""COMPUTED_VALUE"""),"367_stickybombs.anm2")</f>
        <v>367_stickybombs.anm2</v>
      </c>
      <c r="B68" s="8">
        <f>IFERROR(__xludf.DUMMYFUNCTION("""COMPUTED_VALUE"""),367.0)</f>
        <v>367</v>
      </c>
      <c r="C68" s="8" t="str">
        <f>IFERROR(__xludf.DUMMYFUNCTION("""COMPUTED_VALUE"""),"passive")</f>
        <v>passive</v>
      </c>
      <c r="D68" s="8">
        <f>IFERROR(__xludf.DUMMYFUNCTION("""COMPUTED_VALUE"""),0.0)</f>
        <v>0</v>
      </c>
      <c r="E68" s="8" t="str">
        <f>IFERROR(__xludf.DUMMYFUNCTION("""COMPUTED_VALUE"""),"body")</f>
        <v>body</v>
      </c>
      <c r="F68" s="8" t="str">
        <f>IFERROR(__xludf.DUMMYFUNCTION("""COMPUTED_VALUE"""),"")</f>
        <v/>
      </c>
    </row>
    <row r="69" ht="37.5" customHeight="1">
      <c r="A69" s="8" t="str">
        <f>IFERROR(__xludf.DUMMYFUNCTION("""COMPUTED_VALUE"""),"377_burstingsack.anm2")</f>
        <v>377_burstingsack.anm2</v>
      </c>
      <c r="B69" s="8">
        <f>IFERROR(__xludf.DUMMYFUNCTION("""COMPUTED_VALUE"""),377.0)</f>
        <v>377</v>
      </c>
      <c r="C69" s="8" t="str">
        <f>IFERROR(__xludf.DUMMYFUNCTION("""COMPUTED_VALUE"""),"passive")</f>
        <v>passive</v>
      </c>
      <c r="D69" s="8">
        <f>IFERROR(__xludf.DUMMYFUNCTION("""COMPUTED_VALUE"""),0.0)</f>
        <v>0</v>
      </c>
      <c r="E69" s="8" t="str">
        <f>IFERROR(__xludf.DUMMYFUNCTION("""COMPUTED_VALUE"""),"body")</f>
        <v>body</v>
      </c>
      <c r="F69" s="8" t="str">
        <f>IFERROR(__xludf.DUMMYFUNCTION("""COMPUTED_VALUE"""),"")</f>
        <v/>
      </c>
    </row>
    <row r="70" ht="37.5" customHeight="1">
      <c r="A70" s="8" t="str">
        <f>IFERROR(__xludf.DUMMYFUNCTION("""COMPUTED_VALUE"""),"391_betrayal.anm2")</f>
        <v>391_betrayal.anm2</v>
      </c>
      <c r="B70" s="8">
        <f>IFERROR(__xludf.DUMMYFUNCTION("""COMPUTED_VALUE"""),391.0)</f>
        <v>391</v>
      </c>
      <c r="C70" s="8" t="str">
        <f>IFERROR(__xludf.DUMMYFUNCTION("""COMPUTED_VALUE"""),"passive")</f>
        <v>passive</v>
      </c>
      <c r="D70" s="8">
        <f>IFERROR(__xludf.DUMMYFUNCTION("""COMPUTED_VALUE"""),0.0)</f>
        <v>0</v>
      </c>
      <c r="E70" s="8" t="str">
        <f>IFERROR(__xludf.DUMMYFUNCTION("""COMPUTED_VALUE"""),"body")</f>
        <v>body</v>
      </c>
      <c r="F70" s="8" t="str">
        <f>IFERROR(__xludf.DUMMYFUNCTION("""COMPUTED_VALUE"""),"")</f>
        <v/>
      </c>
    </row>
    <row r="71" ht="37.5" customHeight="1">
      <c r="A71" s="8" t="str">
        <f>IFERROR(__xludf.DUMMYFUNCTION("""COMPUTED_VALUE"""),"399_mawofthevoid.anm2")</f>
        <v>399_mawofthevoid.anm2</v>
      </c>
      <c r="B71" s="8">
        <f>IFERROR(__xludf.DUMMYFUNCTION("""COMPUTED_VALUE"""),399.0)</f>
        <v>399</v>
      </c>
      <c r="C71" s="8" t="str">
        <f>IFERROR(__xludf.DUMMYFUNCTION("""COMPUTED_VALUE"""),"passive")</f>
        <v>passive</v>
      </c>
      <c r="D71" s="8">
        <f>IFERROR(__xludf.DUMMYFUNCTION("""COMPUTED_VALUE"""),200.0)</f>
        <v>200</v>
      </c>
      <c r="E71" s="8" t="str">
        <f>IFERROR(__xludf.DUMMYFUNCTION("""COMPUTED_VALUE"""),"body")</f>
        <v>body</v>
      </c>
      <c r="F71" s="8" t="str">
        <f>IFERROR(__xludf.DUMMYFUNCTION("""COMPUTED_VALUE"""),"")</f>
        <v/>
      </c>
    </row>
    <row r="72" ht="37.5" customHeight="1">
      <c r="A72" s="8" t="str">
        <f>IFERROR(__xludf.DUMMYFUNCTION("""COMPUTED_VALUE"""),"411_lustyblood.anm2")</f>
        <v>411_lustyblood.anm2</v>
      </c>
      <c r="B72" s="8">
        <f>IFERROR(__xludf.DUMMYFUNCTION("""COMPUTED_VALUE"""),411.0)</f>
        <v>411</v>
      </c>
      <c r="C72" s="8" t="str">
        <f>IFERROR(__xludf.DUMMYFUNCTION("""COMPUTED_VALUE"""),"passive")</f>
        <v>passive</v>
      </c>
      <c r="D72" s="8">
        <f>IFERROR(__xludf.DUMMYFUNCTION("""COMPUTED_VALUE"""),0.0)</f>
        <v>0</v>
      </c>
      <c r="E72" s="8" t="str">
        <f>IFERROR(__xludf.DUMMYFUNCTION("""COMPUTED_VALUE"""),"body")</f>
        <v>body</v>
      </c>
      <c r="F72" s="8" t="str">
        <f>IFERROR(__xludf.DUMMYFUNCTION("""COMPUTED_VALUE"""),"")</f>
        <v/>
      </c>
    </row>
    <row r="73" ht="37.5" customHeight="1">
      <c r="A73" s="8" t="str">
        <f>IFERROR(__xludf.DUMMYFUNCTION("""COMPUTED_VALUE"""),"412_cambionconception.anm2")</f>
        <v>412_cambionconception.anm2</v>
      </c>
      <c r="B73" s="8">
        <f>IFERROR(__xludf.DUMMYFUNCTION("""COMPUTED_VALUE"""),412.0)</f>
        <v>412</v>
      </c>
      <c r="C73" s="8" t="str">
        <f>IFERROR(__xludf.DUMMYFUNCTION("""COMPUTED_VALUE"""),"passive")</f>
        <v>passive</v>
      </c>
      <c r="D73" s="8">
        <f>IFERROR(__xludf.DUMMYFUNCTION("""COMPUTED_VALUE"""),0.0)</f>
        <v>0</v>
      </c>
      <c r="E73" s="8" t="str">
        <f>IFERROR(__xludf.DUMMYFUNCTION("""COMPUTED_VALUE"""),"body")</f>
        <v>body</v>
      </c>
      <c r="F73" s="8" t="str">
        <f>IFERROR(__xludf.DUMMYFUNCTION("""COMPUTED_VALUE"""),"")</f>
        <v/>
      </c>
    </row>
    <row r="74" ht="37.5" customHeight="1">
      <c r="A74" s="8" t="str">
        <f>IFERROR(__xludf.DUMMYFUNCTION("""COMPUTED_VALUE"""),"413_immaculateconception.anm2")</f>
        <v>413_immaculateconception.anm2</v>
      </c>
      <c r="B74" s="8">
        <f>IFERROR(__xludf.DUMMYFUNCTION("""COMPUTED_VALUE"""),413.0)</f>
        <v>413</v>
      </c>
      <c r="C74" s="8" t="str">
        <f>IFERROR(__xludf.DUMMYFUNCTION("""COMPUTED_VALUE"""),"passive")</f>
        <v>passive</v>
      </c>
      <c r="D74" s="8">
        <f>IFERROR(__xludf.DUMMYFUNCTION("""COMPUTED_VALUE"""),0.0)</f>
        <v>0</v>
      </c>
      <c r="E74" s="8" t="str">
        <f>IFERROR(__xludf.DUMMYFUNCTION("""COMPUTED_VALUE"""),"body")</f>
        <v>body</v>
      </c>
      <c r="F74" s="8" t="str">
        <f>IFERROR(__xludf.DUMMYFUNCTION("""COMPUTED_VALUE"""),"")</f>
        <v/>
      </c>
    </row>
    <row r="75" ht="37.5" customHeight="1">
      <c r="A75" s="8" t="str">
        <f>IFERROR(__xludf.DUMMYFUNCTION("""COMPUTED_VALUE"""),"428_pjs.anm2")</f>
        <v>428_pjs.anm2</v>
      </c>
      <c r="B75" s="8">
        <f>IFERROR(__xludf.DUMMYFUNCTION("""COMPUTED_VALUE"""),428.0)</f>
        <v>428</v>
      </c>
      <c r="C75" s="8" t="str">
        <f>IFERROR(__xludf.DUMMYFUNCTION("""COMPUTED_VALUE"""),"passive")</f>
        <v>passive</v>
      </c>
      <c r="D75" s="8">
        <f>IFERROR(__xludf.DUMMYFUNCTION("""COMPUTED_VALUE"""),0.0)</f>
        <v>0</v>
      </c>
      <c r="E75" s="8" t="str">
        <f>IFERROR(__xludf.DUMMYFUNCTION("""COMPUTED_VALUE"""),"body")</f>
        <v>body</v>
      </c>
      <c r="F75" s="8" t="str">
        <f>IFERROR(__xludf.DUMMYFUNCTION("""COMPUTED_VALUE"""),"")</f>
        <v/>
      </c>
    </row>
    <row r="76" ht="37.5" customHeight="1">
      <c r="A76" s="8" t="str">
        <f>IFERROR(__xludf.DUMMYFUNCTION("""COMPUTED_VALUE"""),"448_shardofglass.anm2")</f>
        <v>448_shardofglass.anm2</v>
      </c>
      <c r="B76" s="8">
        <f>IFERROR(__xludf.DUMMYFUNCTION("""COMPUTED_VALUE"""),448.0)</f>
        <v>448</v>
      </c>
      <c r="C76" s="8" t="str">
        <f>IFERROR(__xludf.DUMMYFUNCTION("""COMPUTED_VALUE"""),"passive")</f>
        <v>passive</v>
      </c>
      <c r="D76" s="8">
        <f>IFERROR(__xludf.DUMMYFUNCTION("""COMPUTED_VALUE"""),0.0)</f>
        <v>0</v>
      </c>
      <c r="E76" s="8" t="str">
        <f>IFERROR(__xludf.DUMMYFUNCTION("""COMPUTED_VALUE"""),"body")</f>
        <v>body</v>
      </c>
      <c r="F76" s="8" t="str">
        <f>IFERROR(__xludf.DUMMYFUNCTION("""COMPUTED_VALUE"""),"")</f>
        <v/>
      </c>
    </row>
    <row r="77" ht="37.5" customHeight="1">
      <c r="A77" s="8" t="str">
        <f>IFERROR(__xludf.DUMMYFUNCTION("""COMPUTED_VALUE"""),"453_compoundfracture.anm2")</f>
        <v>453_compoundfracture.anm2</v>
      </c>
      <c r="B77" s="8">
        <f>IFERROR(__xludf.DUMMYFUNCTION("""COMPUTED_VALUE"""),453.0)</f>
        <v>453</v>
      </c>
      <c r="C77" s="8" t="str">
        <f>IFERROR(__xludf.DUMMYFUNCTION("""COMPUTED_VALUE"""),"passive")</f>
        <v>passive</v>
      </c>
      <c r="D77" s="8">
        <f>IFERROR(__xludf.DUMMYFUNCTION("""COMPUTED_VALUE"""),0.0)</f>
        <v>0</v>
      </c>
      <c r="E77" s="8" t="str">
        <f>IFERROR(__xludf.DUMMYFUNCTION("""COMPUTED_VALUE"""),"body")</f>
        <v>body</v>
      </c>
      <c r="F77" s="8" t="str">
        <f>IFERROR(__xludf.DUMMYFUNCTION("""COMPUTED_VALUE"""),"")</f>
        <v/>
      </c>
    </row>
    <row r="78" ht="37.5" customHeight="1">
      <c r="A78" s="8" t="str">
        <f>IFERROR(__xludf.DUMMYFUNCTION("""COMPUTED_VALUE"""),"454_polydactyly.anm2")</f>
        <v>454_polydactyly.anm2</v>
      </c>
      <c r="B78" s="8">
        <f>IFERROR(__xludf.DUMMYFUNCTION("""COMPUTED_VALUE"""),454.0)</f>
        <v>454</v>
      </c>
      <c r="C78" s="8" t="str">
        <f>IFERROR(__xludf.DUMMYFUNCTION("""COMPUTED_VALUE"""),"passive")</f>
        <v>passive</v>
      </c>
      <c r="D78" s="8">
        <f>IFERROR(__xludf.DUMMYFUNCTION("""COMPUTED_VALUE"""),0.0)</f>
        <v>0</v>
      </c>
      <c r="E78" s="8" t="str">
        <f>IFERROR(__xludf.DUMMYFUNCTION("""COMPUTED_VALUE"""),"body")</f>
        <v>body</v>
      </c>
      <c r="F78" s="8" t="str">
        <f>IFERROR(__xludf.DUMMYFUNCTION("""COMPUTED_VALUE"""),"")</f>
        <v/>
      </c>
    </row>
    <row r="79" ht="37.5" customHeight="1">
      <c r="A79" s="8" t="str">
        <f>IFERROR(__xludf.DUMMYFUNCTION("""COMPUTED_VALUE"""),"510_delirious.anm2")</f>
        <v>510_delirious.anm2</v>
      </c>
      <c r="B79" s="8">
        <f>IFERROR(__xludf.DUMMYFUNCTION("""COMPUTED_VALUE"""),510.0)</f>
        <v>510</v>
      </c>
      <c r="C79" s="8" t="str">
        <f>IFERROR(__xludf.DUMMYFUNCTION("""COMPUTED_VALUE"""),"active")</f>
        <v>active</v>
      </c>
      <c r="D79" s="8">
        <f>IFERROR(__xludf.DUMMYFUNCTION("""COMPUTED_VALUE"""),0.0)</f>
        <v>0</v>
      </c>
      <c r="E79" s="8" t="str">
        <f>IFERROR(__xludf.DUMMYFUNCTION("""COMPUTED_VALUE"""),"body")</f>
        <v>body</v>
      </c>
      <c r="F79" s="8" t="str">
        <f>IFERROR(__xludf.DUMMYFUNCTION("""COMPUTED_VALUE"""),"")</f>
        <v/>
      </c>
    </row>
    <row r="80" ht="37.5" customHeight="1">
      <c r="A80" s="8" t="str">
        <f>IFERROR(__xludf.DUMMYFUNCTION("""COMPUTED_VALUE"""),"534_schoolbag.anm2")</f>
        <v>534_schoolbag.anm2</v>
      </c>
      <c r="B80" s="8">
        <f>IFERROR(__xludf.DUMMYFUNCTION("""COMPUTED_VALUE"""),534.0)</f>
        <v>534</v>
      </c>
      <c r="C80" s="8" t="str">
        <f>IFERROR(__xludf.DUMMYFUNCTION("""COMPUTED_VALUE"""),"passive")</f>
        <v>passive</v>
      </c>
      <c r="D80" s="8">
        <f>IFERROR(__xludf.DUMMYFUNCTION("""COMPUTED_VALUE"""),0.0)</f>
        <v>0</v>
      </c>
      <c r="E80" s="8" t="str">
        <f>IFERROR(__xludf.DUMMYFUNCTION("""COMPUTED_VALUE"""),"body")</f>
        <v>body</v>
      </c>
      <c r="F80" s="8" t="str">
        <f>IFERROR(__xludf.DUMMYFUNCTION("""COMPUTED_VALUE"""),"")</f>
        <v/>
      </c>
    </row>
    <row r="81" ht="37.5" customHeight="1">
      <c r="A81" s="8" t="str">
        <f>IFERROR(__xludf.DUMMYFUNCTION("""COMPUTED_VALUE"""),"549_brittlebones.anm2")</f>
        <v>549_brittlebones.anm2</v>
      </c>
      <c r="B81" s="8">
        <f>IFERROR(__xludf.DUMMYFUNCTION("""COMPUTED_VALUE"""),549.0)</f>
        <v>549</v>
      </c>
      <c r="C81" s="8" t="str">
        <f>IFERROR(__xludf.DUMMYFUNCTION("""COMPUTED_VALUE"""),"passive")</f>
        <v>passive</v>
      </c>
      <c r="D81" s="8">
        <f>IFERROR(__xludf.DUMMYFUNCTION("""COMPUTED_VALUE"""),0.0)</f>
        <v>0</v>
      </c>
      <c r="E81" s="8" t="str">
        <f>IFERROR(__xludf.DUMMYFUNCTION("""COMPUTED_VALUE"""),"body")</f>
        <v>body</v>
      </c>
      <c r="F81" s="8" t="str">
        <f>IFERROR(__xludf.DUMMYFUNCTION("""COMPUTED_VALUE"""),"")</f>
        <v/>
      </c>
    </row>
    <row r="82" ht="37.5" customHeight="1">
      <c r="A82" s="8" t="str">
        <f>IFERROR(__xludf.DUMMYFUNCTION("""COMPUTED_VALUE"""),"001x_2spooky.anm2")</f>
        <v>001x_2spooky.anm2</v>
      </c>
      <c r="B82" s="8">
        <f>IFERROR(__xludf.DUMMYFUNCTION("""COMPUTED_VALUE"""),554.0)</f>
        <v>554</v>
      </c>
      <c r="C82" s="8" t="str">
        <f>IFERROR(__xludf.DUMMYFUNCTION("""COMPUTED_VALUE"""),"passive")</f>
        <v>passive</v>
      </c>
      <c r="D82" s="8">
        <f>IFERROR(__xludf.DUMMYFUNCTION("""COMPUTED_VALUE"""),20.0)</f>
        <v>20</v>
      </c>
      <c r="E82" s="8" t="str">
        <f>IFERROR(__xludf.DUMMYFUNCTION("""COMPUTED_VALUE"""),"body")</f>
        <v>body</v>
      </c>
      <c r="F82" s="8" t="str">
        <f>IFERROR(__xludf.DUMMYFUNCTION("""COMPUTED_VALUE"""),"")</f>
        <v/>
      </c>
    </row>
    <row r="83" ht="37.5" customHeight="1">
      <c r="A83" s="8" t="str">
        <f>IFERROR(__xludf.DUMMYFUNCTION("""COMPUTED_VALUE"""),"020x_immaculateheart.anm2")</f>
        <v>020x_immaculateheart.anm2</v>
      </c>
      <c r="B83" s="8">
        <f>IFERROR(__xludf.DUMMYFUNCTION("""COMPUTED_VALUE"""),573.0)</f>
        <v>573</v>
      </c>
      <c r="C83" s="8" t="str">
        <f>IFERROR(__xludf.DUMMYFUNCTION("""COMPUTED_VALUE"""),"passive")</f>
        <v>passive</v>
      </c>
      <c r="D83" s="8">
        <f>IFERROR(__xludf.DUMMYFUNCTION("""COMPUTED_VALUE"""),0.0)</f>
        <v>0</v>
      </c>
      <c r="E83" s="8" t="str">
        <f>IFERROR(__xludf.DUMMYFUNCTION("""COMPUTED_VALUE"""),"body")</f>
        <v>body</v>
      </c>
      <c r="F83" s="8" t="str">
        <f>IFERROR(__xludf.DUMMYFUNCTION("""COMPUTED_VALUE"""),"")</f>
        <v/>
      </c>
    </row>
    <row r="84" ht="37.5" customHeight="1">
      <c r="A84" s="8" t="str">
        <f>IFERROR(__xludf.DUMMYFUNCTION("""COMPUTED_VALUE"""),"039x_terra.anm2")</f>
        <v>039x_terra.anm2</v>
      </c>
      <c r="B84" s="8">
        <f>IFERROR(__xludf.DUMMYFUNCTION("""COMPUTED_VALUE"""),592.0)</f>
        <v>592</v>
      </c>
      <c r="C84" s="8" t="str">
        <f>IFERROR(__xludf.DUMMYFUNCTION("""COMPUTED_VALUE"""),"passive")</f>
        <v>passive</v>
      </c>
      <c r="D84" s="8">
        <f>IFERROR(__xludf.DUMMYFUNCTION("""COMPUTED_VALUE"""),1.0)</f>
        <v>1</v>
      </c>
      <c r="E84" s="8" t="str">
        <f>IFERROR(__xludf.DUMMYFUNCTION("""COMPUTED_VALUE"""),"body")</f>
        <v>body</v>
      </c>
      <c r="F84" s="8" t="str">
        <f>IFERROR(__xludf.DUMMYFUNCTION("""COMPUTED_VALUE"""),"")</f>
        <v/>
      </c>
    </row>
    <row r="85" ht="37.5" customHeight="1">
      <c r="A85" s="8" t="str">
        <f>IFERROR(__xludf.DUMMYFUNCTION("""COMPUTED_VALUE"""),"040x_mars.anm2")</f>
        <v>040x_mars.anm2</v>
      </c>
      <c r="B85" s="8">
        <f>IFERROR(__xludf.DUMMYFUNCTION("""COMPUTED_VALUE"""),593.0)</f>
        <v>593</v>
      </c>
      <c r="C85" s="8" t="str">
        <f>IFERROR(__xludf.DUMMYFUNCTION("""COMPUTED_VALUE"""),"passive")</f>
        <v>passive</v>
      </c>
      <c r="D85" s="8">
        <f>IFERROR(__xludf.DUMMYFUNCTION("""COMPUTED_VALUE"""),1.0)</f>
        <v>1</v>
      </c>
      <c r="E85" s="8" t="str">
        <f>IFERROR(__xludf.DUMMYFUNCTION("""COMPUTED_VALUE"""),"body")</f>
        <v>body</v>
      </c>
      <c r="F85" s="8" t="str">
        <f>IFERROR(__xludf.DUMMYFUNCTION("""COMPUTED_VALUE"""),"")</f>
        <v/>
      </c>
    </row>
    <row r="86" ht="37.5" customHeight="1">
      <c r="A86" s="8" t="str">
        <f>IFERROR(__xludf.DUMMYFUNCTION("""COMPUTED_VALUE"""),"043x_uranus.anm2")</f>
        <v>043x_uranus.anm2</v>
      </c>
      <c r="B86" s="8">
        <f>IFERROR(__xludf.DUMMYFUNCTION("""COMPUTED_VALUE"""),596.0)</f>
        <v>596</v>
      </c>
      <c r="C86" s="8" t="str">
        <f>IFERROR(__xludf.DUMMYFUNCTION("""COMPUTED_VALUE"""),"passive")</f>
        <v>passive</v>
      </c>
      <c r="D86" s="8">
        <f>IFERROR(__xludf.DUMMYFUNCTION("""COMPUTED_VALUE"""),1.0)</f>
        <v>1</v>
      </c>
      <c r="E86" s="8" t="str">
        <f>IFERROR(__xludf.DUMMYFUNCTION("""COMPUTED_VALUE"""),"body")</f>
        <v>body</v>
      </c>
      <c r="F86" s="8" t="str">
        <f>IFERROR(__xludf.DUMMYFUNCTION("""COMPUTED_VALUE"""),"")</f>
        <v/>
      </c>
    </row>
    <row r="87" ht="37.5" customHeight="1">
      <c r="A87" s="8" t="str">
        <f>IFERROR(__xludf.DUMMYFUNCTION("""COMPUTED_VALUE"""),"044x_neptunus.anm2")</f>
        <v>044x_neptunus.anm2</v>
      </c>
      <c r="B87" s="8">
        <f>IFERROR(__xludf.DUMMYFUNCTION("""COMPUTED_VALUE"""),597.0)</f>
        <v>597</v>
      </c>
      <c r="C87" s="8" t="str">
        <f>IFERROR(__xludf.DUMMYFUNCTION("""COMPUTED_VALUE"""),"passive")</f>
        <v>passive</v>
      </c>
      <c r="D87" s="8">
        <f>IFERROR(__xludf.DUMMYFUNCTION("""COMPUTED_VALUE"""),22.0)</f>
        <v>22</v>
      </c>
      <c r="E87" s="8" t="str">
        <f>IFERROR(__xludf.DUMMYFUNCTION("""COMPUTED_VALUE"""),"body")</f>
        <v>body</v>
      </c>
      <c r="F87" s="8" t="str">
        <f>IFERROR(__xludf.DUMMYFUNCTION("""COMPUTED_VALUE"""),"")</f>
        <v/>
      </c>
    </row>
    <row r="88" ht="37.5" customHeight="1">
      <c r="A88" s="8" t="str">
        <f>IFERROR(__xludf.DUMMYFUNCTION("""COMPUTED_VALUE"""),"big_isaac.anm2")</f>
        <v>big_isaac.anm2</v>
      </c>
      <c r="B88" s="8">
        <f>IFERROR(__xludf.DUMMYFUNCTION("""COMPUTED_VALUE"""),625.0)</f>
        <v>625</v>
      </c>
      <c r="C88" s="8" t="str">
        <f>IFERROR(__xludf.DUMMYFUNCTION("""COMPUTED_VALUE"""),"active")</f>
        <v>active</v>
      </c>
      <c r="D88" s="8">
        <f>IFERROR(__xludf.DUMMYFUNCTION("""COMPUTED_VALUE"""),1000.0)</f>
        <v>1000</v>
      </c>
      <c r="E88" s="8" t="str">
        <f>IFERROR(__xludf.DUMMYFUNCTION("""COMPUTED_VALUE"""),"body")</f>
        <v>body</v>
      </c>
      <c r="F88" s="8" t="str">
        <f>IFERROR(__xludf.DUMMYFUNCTION("""COMPUTED_VALUE"""),"")</f>
        <v/>
      </c>
    </row>
    <row r="89" ht="37.5" customHeight="1">
      <c r="A89" s="8" t="str">
        <f>IFERROR(__xludf.DUMMYFUNCTION("""COMPUTED_VALUE"""),"179_fate.anm2")</f>
        <v>179_fate.anm2</v>
      </c>
      <c r="B89" s="8">
        <f>IFERROR(__xludf.DUMMYFUNCTION("""COMPUTED_VALUE"""),633.0)</f>
        <v>633</v>
      </c>
      <c r="C89" s="8" t="str">
        <f>IFERROR(__xludf.DUMMYFUNCTION("""COMPUTED_VALUE"""),"passive")</f>
        <v>passive</v>
      </c>
      <c r="D89" s="8">
        <f>IFERROR(__xludf.DUMMYFUNCTION("""COMPUTED_VALUE"""),0.0)</f>
        <v>0</v>
      </c>
      <c r="E89" s="8" t="str">
        <f>IFERROR(__xludf.DUMMYFUNCTION("""COMPUTED_VALUE"""),"body")</f>
        <v>body</v>
      </c>
      <c r="F89" s="8" t="str">
        <f>IFERROR(__xludf.DUMMYFUNCTION("""COMPUTED_VALUE"""),"")</f>
        <v/>
      </c>
    </row>
    <row r="90" ht="37.5" customHeight="1">
      <c r="A90" s="8" t="str">
        <f>IFERROR(__xludf.DUMMYFUNCTION("""COMPUTED_VALUE"""),"090x_revelation.anm2")</f>
        <v>090x_revelation.anm2</v>
      </c>
      <c r="B90" s="8">
        <f>IFERROR(__xludf.DUMMYFUNCTION("""COMPUTED_VALUE"""),643.0)</f>
        <v>643</v>
      </c>
      <c r="C90" s="8" t="str">
        <f>IFERROR(__xludf.DUMMYFUNCTION("""COMPUTED_VALUE"""),"passive")</f>
        <v>passive</v>
      </c>
      <c r="D90" s="8">
        <f>IFERROR(__xludf.DUMMYFUNCTION("""COMPUTED_VALUE"""),0.0)</f>
        <v>0</v>
      </c>
      <c r="E90" s="8" t="str">
        <f>IFERROR(__xludf.DUMMYFUNCTION("""COMPUTED_VALUE"""),"body")</f>
        <v>body</v>
      </c>
      <c r="F90" s="8" t="str">
        <f>IFERROR(__xludf.DUMMYFUNCTION("""COMPUTED_VALUE"""),"")</f>
        <v/>
      </c>
    </row>
    <row r="91" ht="37.5" customHeight="1">
      <c r="A91" s="8" t="str">
        <f>IFERROR(__xludf.DUMMYFUNCTION("""COMPUTED_VALUE"""),"671_candyheart.anm2")</f>
        <v>671_candyheart.anm2</v>
      </c>
      <c r="B91" s="8">
        <f>IFERROR(__xludf.DUMMYFUNCTION("""COMPUTED_VALUE"""),671.0)</f>
        <v>671</v>
      </c>
      <c r="C91" s="8" t="str">
        <f>IFERROR(__xludf.DUMMYFUNCTION("""COMPUTED_VALUE"""),"passive")</f>
        <v>passive</v>
      </c>
      <c r="D91" s="8">
        <f>IFERROR(__xludf.DUMMYFUNCTION("""COMPUTED_VALUE"""),0.0)</f>
        <v>0</v>
      </c>
      <c r="E91" s="8" t="str">
        <f>IFERROR(__xludf.DUMMYFUNCTION("""COMPUTED_VALUE"""),"body")</f>
        <v>body</v>
      </c>
      <c r="F91" s="8" t="str">
        <f>IFERROR(__xludf.DUMMYFUNCTION("""COMPUTED_VALUE"""),"")</f>
        <v/>
      </c>
    </row>
    <row r="92" ht="37.5" customHeight="1">
      <c r="A92" s="8" t="str">
        <f>IFERROR(__xludf.DUMMYFUNCTION("""COMPUTED_VALUE"""),"677_astralprojection.anm2")</f>
        <v>677_astralprojection.anm2</v>
      </c>
      <c r="B92" s="8">
        <f>IFERROR(__xludf.DUMMYFUNCTION("""COMPUTED_VALUE"""),677.0)</f>
        <v>677</v>
      </c>
      <c r="C92" s="8" t="str">
        <f>IFERROR(__xludf.DUMMYFUNCTION("""COMPUTED_VALUE"""),"passive")</f>
        <v>passive</v>
      </c>
      <c r="D92" s="8">
        <f>IFERROR(__xludf.DUMMYFUNCTION("""COMPUTED_VALUE"""),1.0)</f>
        <v>1</v>
      </c>
      <c r="E92" s="8" t="str">
        <f>IFERROR(__xludf.DUMMYFUNCTION("""COMPUTED_VALUE"""),"body")</f>
        <v>body</v>
      </c>
      <c r="F92" s="8" t="str">
        <f>IFERROR(__xludf.DUMMYFUNCTION("""COMPUTED_VALUE"""),"")</f>
        <v/>
      </c>
    </row>
    <row r="93" ht="37.5" customHeight="1">
      <c r="A93" s="8" t="str">
        <f>IFERROR(__xludf.DUMMYFUNCTION("""COMPUTED_VALUE"""),"678_csection.anm2")</f>
        <v>678_csection.anm2</v>
      </c>
      <c r="B93" s="8">
        <f>IFERROR(__xludf.DUMMYFUNCTION("""COMPUTED_VALUE"""),678.0)</f>
        <v>678</v>
      </c>
      <c r="C93" s="8" t="str">
        <f>IFERROR(__xludf.DUMMYFUNCTION("""COMPUTED_VALUE"""),"passive")</f>
        <v>passive</v>
      </c>
      <c r="D93" s="8">
        <f>IFERROR(__xludf.DUMMYFUNCTION("""COMPUTED_VALUE"""),24.0)</f>
        <v>24</v>
      </c>
      <c r="E93" s="8" t="str">
        <f>IFERROR(__xludf.DUMMYFUNCTION("""COMPUTED_VALUE"""),"body")</f>
        <v>body</v>
      </c>
      <c r="F93" s="8" t="str">
        <f>IFERROR(__xludf.DUMMYFUNCTION("""COMPUTED_VALUE"""),"")</f>
        <v/>
      </c>
    </row>
    <row r="94" ht="37.5" customHeight="1">
      <c r="A94" s="8" t="str">
        <f>IFERROR(__xludf.DUMMYFUNCTION("""COMPUTED_VALUE"""),"045x_pluto.anm2")</f>
        <v>045x_pluto.anm2</v>
      </c>
      <c r="B94" s="8">
        <f>IFERROR(__xludf.DUMMYFUNCTION("""COMPUTED_VALUE"""),688.0)</f>
        <v>688</v>
      </c>
      <c r="C94" s="8" t="str">
        <f>IFERROR(__xludf.DUMMYFUNCTION("""COMPUTED_VALUE"""),"passive")</f>
        <v>passive</v>
      </c>
      <c r="D94" s="8">
        <f>IFERROR(__xludf.DUMMYFUNCTION("""COMPUTED_VALUE"""),10.0)</f>
        <v>10</v>
      </c>
      <c r="E94" s="8" t="str">
        <f>IFERROR(__xludf.DUMMYFUNCTION("""COMPUTED_VALUE"""),"body")</f>
        <v>body</v>
      </c>
      <c r="F94" s="8" t="str">
        <f>IFERROR(__xludf.DUMMYFUNCTION("""COMPUTED_VALUE"""),"")</f>
        <v/>
      </c>
    </row>
    <row r="95" ht="37.5" customHeight="1">
      <c r="A95" s="8" t="str">
        <f>IFERROR(__xludf.DUMMYFUNCTION("""COMPUTED_VALUE"""),"129_bucket of lard.anm2")</f>
        <v>129_bucket of lard.anm2</v>
      </c>
      <c r="B95" s="8">
        <f>IFERROR(__xludf.DUMMYFUNCTION("""COMPUTED_VALUE"""),690.0)</f>
        <v>690</v>
      </c>
      <c r="C95" s="8" t="str">
        <f>IFERROR(__xludf.DUMMYFUNCTION("""COMPUTED_VALUE"""),"passive")</f>
        <v>passive</v>
      </c>
      <c r="D95" s="8">
        <f>IFERROR(__xludf.DUMMYFUNCTION("""COMPUTED_VALUE"""),0.0)</f>
        <v>0</v>
      </c>
      <c r="E95" s="8" t="str">
        <f>IFERROR(__xludf.DUMMYFUNCTION("""COMPUTED_VALUE"""),"body")</f>
        <v>body</v>
      </c>
      <c r="F95" s="8" t="str">
        <f>IFERROR(__xludf.DUMMYFUNCTION("""COMPUTED_VALUE"""),"")</f>
        <v/>
      </c>
    </row>
    <row r="96" ht="37.5" customHeight="1">
      <c r="A96" s="8"/>
      <c r="B96" s="8"/>
      <c r="C96" s="8"/>
      <c r="D96" s="8"/>
      <c r="E96" s="8"/>
      <c r="F96" s="8"/>
    </row>
    <row r="97" ht="37.5" customHeight="1">
      <c r="A97" s="8"/>
      <c r="B97" s="8"/>
      <c r="C97" s="8"/>
      <c r="D97" s="8"/>
      <c r="E97" s="8"/>
      <c r="F97" s="8"/>
    </row>
    <row r="98" ht="37.5" customHeight="1">
      <c r="A98" s="8"/>
      <c r="B98" s="8"/>
      <c r="C98" s="8"/>
      <c r="D98" s="8"/>
      <c r="E98" s="8"/>
      <c r="F98" s="8"/>
    </row>
    <row r="99" ht="37.5" customHeight="1">
      <c r="A99" s="8"/>
      <c r="B99" s="8"/>
      <c r="C99" s="8"/>
      <c r="D99" s="8"/>
      <c r="E99" s="8"/>
      <c r="F99" s="8"/>
    </row>
    <row r="100" ht="37.5" customHeight="1">
      <c r="A100" s="8"/>
      <c r="B100" s="8"/>
      <c r="C100" s="8"/>
      <c r="D100" s="8"/>
      <c r="E100" s="8"/>
      <c r="F100" s="8"/>
    </row>
    <row r="101" ht="37.5" customHeight="1">
      <c r="A101" s="8"/>
      <c r="B101" s="8"/>
      <c r="C101" s="8"/>
      <c r="D101" s="8"/>
      <c r="E101" s="8"/>
      <c r="F101" s="8"/>
    </row>
    <row r="102" ht="37.5" customHeight="1">
      <c r="A102" s="8"/>
      <c r="B102" s="8"/>
      <c r="C102" s="8"/>
      <c r="D102" s="8"/>
      <c r="E102" s="8"/>
      <c r="F102" s="8"/>
    </row>
    <row r="103" ht="37.5" customHeight="1">
      <c r="A103" s="8"/>
      <c r="B103" s="8"/>
      <c r="C103" s="8"/>
      <c r="D103" s="8"/>
      <c r="E103" s="8"/>
      <c r="F103" s="8"/>
    </row>
    <row r="104" ht="37.5" customHeight="1">
      <c r="A104" s="8"/>
      <c r="B104" s="8"/>
      <c r="C104" s="8"/>
      <c r="D104" s="8"/>
      <c r="E104" s="8"/>
      <c r="F104" s="8"/>
    </row>
    <row r="105" ht="37.5" customHeight="1">
      <c r="A105" s="8"/>
      <c r="B105" s="8"/>
      <c r="C105" s="8"/>
      <c r="D105" s="8"/>
      <c r="E105" s="8"/>
      <c r="F105" s="8"/>
    </row>
    <row r="106" ht="37.5" customHeight="1">
      <c r="A106" s="8"/>
      <c r="B106" s="8"/>
      <c r="C106" s="8"/>
      <c r="D106" s="8"/>
      <c r="E106" s="8"/>
      <c r="F106" s="8"/>
    </row>
    <row r="107" ht="37.5" customHeight="1">
      <c r="A107" s="8"/>
      <c r="B107" s="8"/>
      <c r="C107" s="8"/>
      <c r="D107" s="8"/>
      <c r="E107" s="8"/>
      <c r="F107" s="8"/>
    </row>
    <row r="108" ht="37.5" customHeight="1">
      <c r="A108" s="8"/>
      <c r="B108" s="8"/>
      <c r="C108" s="8"/>
      <c r="D108" s="8"/>
      <c r="E108" s="8"/>
      <c r="F108" s="8"/>
    </row>
    <row r="109" ht="37.5" customHeight="1">
      <c r="A109" s="8"/>
      <c r="B109" s="8"/>
      <c r="C109" s="8"/>
      <c r="D109" s="8"/>
      <c r="E109" s="8"/>
      <c r="F109" s="8"/>
    </row>
    <row r="110" ht="37.5" customHeight="1">
      <c r="A110" s="8"/>
      <c r="B110" s="8"/>
      <c r="C110" s="8"/>
      <c r="D110" s="8"/>
      <c r="E110" s="8"/>
      <c r="F110" s="8"/>
    </row>
    <row r="111" ht="37.5" customHeight="1">
      <c r="A111" s="8"/>
      <c r="B111" s="8"/>
      <c r="C111" s="8"/>
      <c r="D111" s="8"/>
      <c r="E111" s="8"/>
      <c r="F111" s="8"/>
    </row>
    <row r="112" ht="37.5" customHeight="1">
      <c r="A112" s="8"/>
      <c r="B112" s="8"/>
      <c r="C112" s="8"/>
      <c r="D112" s="8"/>
      <c r="E112" s="8"/>
      <c r="F112" s="8"/>
    </row>
    <row r="113" ht="37.5" customHeight="1">
      <c r="A113" s="8"/>
      <c r="B113" s="8"/>
      <c r="C113" s="8"/>
      <c r="D113" s="8"/>
      <c r="E113" s="8"/>
      <c r="F113" s="8"/>
    </row>
    <row r="114" ht="37.5" customHeight="1">
      <c r="A114" s="8"/>
      <c r="B114" s="8"/>
      <c r="C114" s="8"/>
      <c r="D114" s="8"/>
      <c r="E114" s="8"/>
      <c r="F114" s="8"/>
    </row>
    <row r="115" ht="37.5" customHeight="1">
      <c r="A115" s="8"/>
      <c r="B115" s="8"/>
      <c r="C115" s="8"/>
      <c r="D115" s="8"/>
      <c r="E115" s="8"/>
      <c r="F115" s="8"/>
    </row>
    <row r="116" ht="37.5" customHeight="1">
      <c r="A116" s="8"/>
      <c r="B116" s="8"/>
      <c r="C116" s="8"/>
      <c r="D116" s="8"/>
      <c r="E116" s="8"/>
      <c r="F116" s="8"/>
    </row>
    <row r="117" ht="37.5" customHeight="1">
      <c r="A117" s="8"/>
      <c r="B117" s="8"/>
      <c r="C117" s="8"/>
      <c r="D117" s="8"/>
      <c r="E117" s="8"/>
      <c r="F117" s="8"/>
    </row>
    <row r="118" ht="37.5" customHeight="1">
      <c r="A118" s="8"/>
      <c r="B118" s="8"/>
      <c r="C118" s="8"/>
      <c r="D118" s="8"/>
      <c r="E118" s="8"/>
      <c r="F118" s="8"/>
    </row>
    <row r="119" ht="37.5" customHeight="1">
      <c r="A119" s="8"/>
      <c r="B119" s="8"/>
      <c r="C119" s="8"/>
      <c r="D119" s="8"/>
      <c r="E119" s="8"/>
      <c r="F119" s="8"/>
    </row>
    <row r="120" ht="37.5" customHeight="1">
      <c r="A120" s="8"/>
      <c r="B120" s="8"/>
      <c r="C120" s="8"/>
      <c r="D120" s="8"/>
      <c r="E120" s="8"/>
      <c r="F120" s="8"/>
    </row>
    <row r="121" ht="37.5" customHeight="1">
      <c r="A121" s="8"/>
      <c r="B121" s="8"/>
      <c r="C121" s="8"/>
      <c r="D121" s="8"/>
      <c r="E121" s="8"/>
      <c r="F121" s="8"/>
    </row>
    <row r="122" ht="37.5" customHeight="1">
      <c r="A122" s="8"/>
      <c r="B122" s="8"/>
      <c r="C122" s="8"/>
      <c r="D122" s="8"/>
      <c r="E122" s="8"/>
      <c r="F122" s="8"/>
    </row>
    <row r="123" ht="37.5" customHeight="1">
      <c r="A123" s="8"/>
      <c r="B123" s="8"/>
      <c r="C123" s="8"/>
      <c r="D123" s="8"/>
      <c r="E123" s="8"/>
      <c r="F123" s="8"/>
    </row>
    <row r="124" ht="37.5" customHeight="1">
      <c r="A124" s="8"/>
      <c r="B124" s="8"/>
      <c r="C124" s="8"/>
      <c r="D124" s="8"/>
      <c r="E124" s="8"/>
      <c r="F124" s="8"/>
    </row>
    <row r="125" ht="37.5" customHeight="1">
      <c r="A125" s="8"/>
      <c r="B125" s="8"/>
      <c r="C125" s="8"/>
      <c r="D125" s="8"/>
      <c r="E125" s="8"/>
      <c r="F125" s="8"/>
    </row>
    <row r="126" ht="37.5" customHeight="1">
      <c r="A126" s="8"/>
      <c r="B126" s="8"/>
      <c r="C126" s="8"/>
      <c r="D126" s="8"/>
      <c r="E126" s="8"/>
      <c r="F126" s="8"/>
    </row>
    <row r="127" ht="37.5" customHeight="1">
      <c r="A127" s="8"/>
      <c r="B127" s="8"/>
      <c r="C127" s="8"/>
      <c r="D127" s="8"/>
      <c r="E127" s="8"/>
      <c r="F127" s="8"/>
    </row>
    <row r="128" ht="37.5" customHeight="1">
      <c r="A128" s="8"/>
      <c r="B128" s="8"/>
      <c r="C128" s="8"/>
      <c r="D128" s="8"/>
      <c r="E128" s="8"/>
      <c r="F128" s="8"/>
    </row>
    <row r="129" ht="37.5" customHeight="1">
      <c r="A129" s="8"/>
      <c r="B129" s="8"/>
      <c r="C129" s="8"/>
      <c r="D129" s="8"/>
      <c r="E129" s="8"/>
      <c r="F129" s="8"/>
    </row>
    <row r="130" ht="37.5" customHeight="1">
      <c r="A130" s="8"/>
      <c r="B130" s="8"/>
      <c r="C130" s="8"/>
      <c r="D130" s="8"/>
      <c r="E130" s="8"/>
      <c r="F130" s="8"/>
    </row>
    <row r="131" ht="37.5" customHeight="1">
      <c r="A131" s="8"/>
      <c r="B131" s="8"/>
      <c r="C131" s="8"/>
      <c r="D131" s="8"/>
      <c r="E131" s="8"/>
      <c r="F131" s="8"/>
    </row>
    <row r="132" ht="37.5" customHeight="1">
      <c r="A132" s="8"/>
      <c r="B132" s="8"/>
      <c r="C132" s="8"/>
      <c r="D132" s="8"/>
      <c r="E132" s="8"/>
      <c r="F132" s="8"/>
    </row>
    <row r="133" ht="37.5" customHeight="1">
      <c r="A133" s="8"/>
      <c r="B133" s="8"/>
      <c r="C133" s="8"/>
      <c r="D133" s="8"/>
      <c r="E133" s="8"/>
      <c r="F133" s="8"/>
    </row>
    <row r="134" ht="37.5" customHeight="1">
      <c r="A134" s="8"/>
      <c r="B134" s="8"/>
      <c r="C134" s="8"/>
      <c r="D134" s="8"/>
      <c r="E134" s="8"/>
      <c r="F134" s="8"/>
    </row>
    <row r="135" ht="37.5" customHeight="1">
      <c r="A135" s="8"/>
      <c r="B135" s="8"/>
      <c r="C135" s="8"/>
      <c r="D135" s="8"/>
      <c r="E135" s="8"/>
      <c r="F135" s="8"/>
    </row>
    <row r="136" ht="37.5" customHeight="1">
      <c r="A136" s="8"/>
      <c r="B136" s="8"/>
      <c r="C136" s="8"/>
      <c r="D136" s="8"/>
      <c r="E136" s="8"/>
      <c r="F136" s="8"/>
    </row>
    <row r="137" ht="37.5" customHeight="1">
      <c r="A137" s="8"/>
      <c r="B137" s="8"/>
      <c r="C137" s="8"/>
      <c r="D137" s="8"/>
      <c r="E137" s="8"/>
      <c r="F137" s="8"/>
    </row>
    <row r="138" ht="37.5" customHeight="1">
      <c r="A138" s="8"/>
      <c r="B138" s="8"/>
      <c r="C138" s="8"/>
      <c r="D138" s="8"/>
      <c r="E138" s="8"/>
      <c r="F138" s="8"/>
    </row>
    <row r="139" ht="37.5" customHeight="1">
      <c r="A139" s="8"/>
      <c r="B139" s="8"/>
      <c r="C139" s="8"/>
      <c r="D139" s="8"/>
      <c r="E139" s="8"/>
      <c r="F139" s="8"/>
    </row>
    <row r="140" ht="37.5" customHeight="1">
      <c r="A140" s="8"/>
      <c r="B140" s="8"/>
      <c r="C140" s="8"/>
      <c r="D140" s="8"/>
      <c r="E140" s="8"/>
      <c r="F140" s="8"/>
    </row>
    <row r="141" ht="37.5" customHeight="1">
      <c r="A141" s="8"/>
      <c r="B141" s="8"/>
      <c r="C141" s="8"/>
      <c r="D141" s="8"/>
      <c r="E141" s="8"/>
      <c r="F141" s="8"/>
    </row>
    <row r="142" ht="37.5" customHeight="1">
      <c r="A142" s="8"/>
      <c r="B142" s="8"/>
      <c r="C142" s="8"/>
      <c r="D142" s="8"/>
      <c r="E142" s="8"/>
      <c r="F142" s="8"/>
    </row>
    <row r="143" ht="37.5" customHeight="1">
      <c r="A143" s="8"/>
      <c r="B143" s="8"/>
      <c r="C143" s="8"/>
      <c r="D143" s="8"/>
      <c r="E143" s="8"/>
      <c r="F143" s="8"/>
    </row>
    <row r="144" ht="37.5" customHeight="1">
      <c r="A144" s="8"/>
      <c r="B144" s="8"/>
      <c r="C144" s="8"/>
      <c r="D144" s="8"/>
      <c r="E144" s="8"/>
      <c r="F144" s="8"/>
    </row>
    <row r="145" ht="37.5" customHeight="1">
      <c r="A145" s="8"/>
      <c r="B145" s="8"/>
      <c r="C145" s="8"/>
      <c r="D145" s="8"/>
      <c r="E145" s="8"/>
      <c r="F145" s="8"/>
    </row>
    <row r="146" ht="37.5" customHeight="1">
      <c r="A146" s="8"/>
      <c r="B146" s="8"/>
      <c r="C146" s="8"/>
      <c r="D146" s="8"/>
      <c r="E146" s="8"/>
      <c r="F146" s="8"/>
    </row>
    <row r="147" ht="37.5" customHeight="1">
      <c r="A147" s="8"/>
      <c r="B147" s="8"/>
      <c r="C147" s="8"/>
      <c r="D147" s="8"/>
      <c r="E147" s="8"/>
      <c r="F147" s="8"/>
    </row>
    <row r="148" ht="37.5" customHeight="1">
      <c r="A148" s="8"/>
      <c r="B148" s="8"/>
      <c r="C148" s="8"/>
      <c r="D148" s="8"/>
      <c r="E148" s="8"/>
      <c r="F148" s="8"/>
    </row>
    <row r="149" ht="37.5" customHeight="1">
      <c r="A149" s="8"/>
      <c r="B149" s="8"/>
      <c r="C149" s="8"/>
      <c r="D149" s="8"/>
      <c r="E149" s="8"/>
      <c r="F149" s="8"/>
    </row>
    <row r="150" ht="37.5" customHeight="1">
      <c r="A150" s="8"/>
      <c r="B150" s="8"/>
      <c r="C150" s="8"/>
      <c r="D150" s="8"/>
      <c r="E150" s="8"/>
      <c r="F150" s="8"/>
    </row>
    <row r="151" ht="37.5" customHeight="1">
      <c r="A151" s="8"/>
      <c r="B151" s="8"/>
      <c r="C151" s="8"/>
      <c r="D151" s="8"/>
      <c r="E151" s="8"/>
      <c r="F151" s="8"/>
    </row>
    <row r="152" ht="37.5" customHeight="1">
      <c r="A152" s="8"/>
      <c r="B152" s="8"/>
      <c r="C152" s="8"/>
      <c r="D152" s="8"/>
      <c r="E152" s="8"/>
      <c r="F152" s="8"/>
    </row>
    <row r="153" ht="37.5" customHeight="1">
      <c r="A153" s="8"/>
      <c r="B153" s="8"/>
      <c r="C153" s="8"/>
      <c r="D153" s="8"/>
      <c r="E153" s="8"/>
      <c r="F153" s="8"/>
    </row>
    <row r="154" ht="37.5" customHeight="1">
      <c r="A154" s="8"/>
      <c r="B154" s="8"/>
      <c r="C154" s="8"/>
      <c r="D154" s="8"/>
      <c r="E154" s="8"/>
      <c r="F154" s="8"/>
    </row>
    <row r="155" ht="37.5" customHeight="1">
      <c r="A155" s="8"/>
      <c r="B155" s="8"/>
      <c r="C155" s="8"/>
      <c r="D155" s="8"/>
      <c r="E155" s="8"/>
      <c r="F155" s="8"/>
    </row>
    <row r="156" ht="37.5" customHeight="1">
      <c r="A156" s="8"/>
      <c r="B156" s="8"/>
      <c r="C156" s="8"/>
      <c r="D156" s="8"/>
      <c r="E156" s="8"/>
      <c r="F156" s="8"/>
    </row>
    <row r="157" ht="37.5" customHeight="1">
      <c r="A157" s="8"/>
      <c r="B157" s="8"/>
      <c r="C157" s="8"/>
      <c r="D157" s="8"/>
      <c r="E157" s="8"/>
      <c r="F157" s="8"/>
    </row>
    <row r="158" ht="37.5" customHeight="1">
      <c r="A158" s="8"/>
      <c r="B158" s="8"/>
      <c r="C158" s="8"/>
      <c r="D158" s="8"/>
      <c r="E158" s="8"/>
      <c r="F158" s="8"/>
    </row>
    <row r="159" ht="37.5" customHeight="1">
      <c r="A159" s="8"/>
      <c r="B159" s="8"/>
      <c r="C159" s="8"/>
      <c r="D159" s="8"/>
      <c r="E159" s="8"/>
      <c r="F159" s="8"/>
    </row>
    <row r="160" ht="37.5" customHeight="1">
      <c r="A160" s="8"/>
      <c r="B160" s="8"/>
      <c r="C160" s="8"/>
      <c r="D160" s="8"/>
      <c r="E160" s="8"/>
      <c r="F160" s="8"/>
    </row>
    <row r="161" ht="37.5" customHeight="1">
      <c r="A161" s="8"/>
      <c r="B161" s="8"/>
      <c r="C161" s="8"/>
      <c r="D161" s="8"/>
      <c r="E161" s="8"/>
      <c r="F161" s="8"/>
    </row>
    <row r="162" ht="37.5" customHeight="1">
      <c r="A162" s="8"/>
      <c r="B162" s="8"/>
      <c r="C162" s="8"/>
      <c r="D162" s="8"/>
      <c r="E162" s="8"/>
      <c r="F162" s="8"/>
    </row>
    <row r="163" ht="37.5" customHeight="1">
      <c r="A163" s="8"/>
      <c r="B163" s="8"/>
      <c r="C163" s="8"/>
      <c r="D163" s="8"/>
      <c r="E163" s="8"/>
      <c r="F163" s="8"/>
    </row>
    <row r="164" ht="37.5" customHeight="1">
      <c r="A164" s="8"/>
      <c r="B164" s="8"/>
      <c r="C164" s="8"/>
      <c r="D164" s="8"/>
      <c r="E164" s="8"/>
      <c r="F164" s="8"/>
    </row>
    <row r="165" ht="37.5" customHeight="1">
      <c r="A165" s="8"/>
      <c r="B165" s="8"/>
      <c r="C165" s="8"/>
      <c r="D165" s="8"/>
      <c r="E165" s="8"/>
      <c r="F165" s="8"/>
    </row>
    <row r="166" ht="37.5" customHeight="1">
      <c r="A166" s="8"/>
      <c r="B166" s="8"/>
      <c r="C166" s="8"/>
      <c r="D166" s="8"/>
      <c r="E166" s="8"/>
      <c r="F166" s="8"/>
    </row>
    <row r="167" ht="37.5" customHeight="1">
      <c r="A167" s="8"/>
      <c r="B167" s="8"/>
      <c r="C167" s="8"/>
      <c r="D167" s="8"/>
      <c r="E167" s="8"/>
      <c r="F167" s="8"/>
    </row>
    <row r="168" ht="37.5" customHeight="1">
      <c r="A168" s="8"/>
      <c r="B168" s="8"/>
      <c r="C168" s="8"/>
      <c r="D168" s="8"/>
      <c r="E168" s="8"/>
      <c r="F168" s="8"/>
    </row>
    <row r="169" ht="37.5" customHeight="1">
      <c r="A169" s="8"/>
      <c r="B169" s="8"/>
      <c r="C169" s="8"/>
      <c r="D169" s="8"/>
      <c r="E169" s="8"/>
      <c r="F169" s="8"/>
    </row>
    <row r="170" ht="37.5" customHeight="1">
      <c r="A170" s="8"/>
      <c r="B170" s="8"/>
      <c r="C170" s="8"/>
      <c r="D170" s="8"/>
      <c r="E170" s="8"/>
      <c r="F170" s="8"/>
    </row>
    <row r="171" ht="37.5" customHeight="1">
      <c r="A171" s="8"/>
      <c r="B171" s="8"/>
      <c r="C171" s="8"/>
      <c r="D171" s="8"/>
      <c r="E171" s="8"/>
      <c r="F171" s="8"/>
    </row>
    <row r="172" ht="37.5" customHeight="1">
      <c r="A172" s="8"/>
      <c r="B172" s="8"/>
      <c r="C172" s="8"/>
      <c r="D172" s="8"/>
      <c r="E172" s="8"/>
      <c r="F172" s="8"/>
    </row>
    <row r="173" ht="37.5" customHeight="1">
      <c r="A173" s="8"/>
      <c r="B173" s="8"/>
      <c r="C173" s="8"/>
      <c r="D173" s="8"/>
      <c r="E173" s="8"/>
      <c r="F173" s="8"/>
    </row>
    <row r="174" ht="37.5" customHeight="1">
      <c r="A174" s="8"/>
      <c r="B174" s="8"/>
      <c r="C174" s="8"/>
      <c r="D174" s="8"/>
      <c r="E174" s="8"/>
      <c r="F174" s="8"/>
    </row>
    <row r="175" ht="37.5" customHeight="1">
      <c r="A175" s="8"/>
      <c r="B175" s="8"/>
      <c r="C175" s="8"/>
      <c r="D175" s="8"/>
      <c r="E175" s="8"/>
      <c r="F175" s="8"/>
    </row>
    <row r="176" ht="37.5" customHeight="1">
      <c r="A176" s="8"/>
      <c r="B176" s="8"/>
      <c r="C176" s="8"/>
      <c r="D176" s="8"/>
      <c r="E176" s="8"/>
      <c r="F176" s="8"/>
    </row>
    <row r="177" ht="37.5" customHeight="1">
      <c r="A177" s="8"/>
      <c r="B177" s="8"/>
      <c r="C177" s="8"/>
      <c r="D177" s="8"/>
      <c r="E177" s="8"/>
      <c r="F177" s="8"/>
    </row>
    <row r="178" ht="37.5" customHeight="1">
      <c r="A178" s="8"/>
      <c r="B178" s="8"/>
      <c r="C178" s="8"/>
      <c r="D178" s="8"/>
      <c r="E178" s="8"/>
      <c r="F178" s="8"/>
    </row>
    <row r="179" ht="37.5" customHeight="1">
      <c r="A179" s="8"/>
      <c r="B179" s="8"/>
      <c r="C179" s="8"/>
      <c r="D179" s="8"/>
      <c r="E179" s="8"/>
      <c r="F179" s="8"/>
    </row>
    <row r="180" ht="37.5" customHeight="1">
      <c r="A180" s="8"/>
      <c r="B180" s="8"/>
      <c r="C180" s="8"/>
      <c r="D180" s="8"/>
      <c r="E180" s="8"/>
      <c r="F180" s="8"/>
    </row>
    <row r="181" ht="37.5" customHeight="1">
      <c r="A181" s="8"/>
      <c r="B181" s="8"/>
      <c r="C181" s="8"/>
      <c r="D181" s="8"/>
      <c r="E181" s="8"/>
      <c r="F181" s="8"/>
    </row>
    <row r="182" ht="37.5" customHeight="1">
      <c r="A182" s="8"/>
      <c r="B182" s="8"/>
      <c r="C182" s="8"/>
      <c r="D182" s="8"/>
      <c r="E182" s="8"/>
      <c r="F182" s="8"/>
    </row>
    <row r="183" ht="37.5" customHeight="1">
      <c r="A183" s="8"/>
      <c r="B183" s="8"/>
      <c r="C183" s="8"/>
      <c r="D183" s="8"/>
      <c r="E183" s="8"/>
      <c r="F183" s="8"/>
    </row>
    <row r="184" ht="37.5" customHeight="1">
      <c r="A184" s="8"/>
      <c r="B184" s="8"/>
      <c r="C184" s="8"/>
      <c r="D184" s="8"/>
      <c r="E184" s="8"/>
      <c r="F184" s="8"/>
    </row>
    <row r="185" ht="37.5" customHeight="1">
      <c r="A185" s="8"/>
      <c r="B185" s="8"/>
      <c r="C185" s="8"/>
      <c r="D185" s="8"/>
      <c r="E185" s="8"/>
      <c r="F185" s="8"/>
    </row>
    <row r="186" ht="37.5" customHeight="1">
      <c r="A186" s="8"/>
      <c r="B186" s="8"/>
      <c r="C186" s="8"/>
      <c r="D186" s="8"/>
      <c r="E186" s="8"/>
      <c r="F186" s="8"/>
    </row>
    <row r="187" ht="37.5" customHeight="1">
      <c r="A187" s="8"/>
      <c r="B187" s="8"/>
      <c r="C187" s="8"/>
      <c r="D187" s="8"/>
      <c r="E187" s="8"/>
      <c r="F187" s="8"/>
    </row>
    <row r="188" ht="37.5" customHeight="1">
      <c r="A188" s="8"/>
      <c r="B188" s="8"/>
      <c r="C188" s="8"/>
      <c r="D188" s="8"/>
      <c r="E188" s="8"/>
      <c r="F188" s="8"/>
    </row>
    <row r="189" ht="37.5" customHeight="1">
      <c r="A189" s="8"/>
      <c r="B189" s="8"/>
      <c r="C189" s="8"/>
      <c r="D189" s="8"/>
      <c r="E189" s="8"/>
      <c r="F189" s="8"/>
    </row>
    <row r="190" ht="37.5" customHeight="1">
      <c r="A190" s="8"/>
      <c r="B190" s="8"/>
      <c r="C190" s="8"/>
      <c r="D190" s="8"/>
      <c r="E190" s="8"/>
      <c r="F190" s="8"/>
    </row>
    <row r="191" ht="37.5" customHeight="1">
      <c r="A191" s="8"/>
      <c r="B191" s="8"/>
      <c r="C191" s="8"/>
      <c r="D191" s="8"/>
      <c r="E191" s="8"/>
      <c r="F191" s="8"/>
    </row>
    <row r="192" ht="37.5" customHeight="1">
      <c r="A192" s="8"/>
      <c r="B192" s="8"/>
      <c r="C192" s="8"/>
      <c r="D192" s="8"/>
      <c r="E192" s="8"/>
      <c r="F192" s="8"/>
    </row>
    <row r="193" ht="37.5" customHeight="1">
      <c r="A193" s="8"/>
      <c r="B193" s="8"/>
      <c r="C193" s="8"/>
      <c r="D193" s="8"/>
      <c r="E193" s="8"/>
      <c r="F193" s="8"/>
    </row>
    <row r="194" ht="37.5" customHeight="1">
      <c r="A194" s="8"/>
      <c r="B194" s="8"/>
      <c r="C194" s="8"/>
      <c r="D194" s="8"/>
      <c r="E194" s="8"/>
      <c r="F194" s="8"/>
    </row>
    <row r="195" ht="37.5" customHeight="1">
      <c r="A195" s="8"/>
      <c r="B195" s="8"/>
      <c r="C195" s="8"/>
      <c r="D195" s="8"/>
      <c r="E195" s="8"/>
      <c r="F195" s="8"/>
    </row>
    <row r="196" ht="37.5" customHeight="1">
      <c r="A196" s="8"/>
      <c r="B196" s="8"/>
      <c r="C196" s="8"/>
      <c r="D196" s="8"/>
      <c r="E196" s="8"/>
      <c r="F196" s="8"/>
    </row>
    <row r="197" ht="37.5" customHeight="1">
      <c r="A197" s="8"/>
      <c r="B197" s="8"/>
      <c r="C197" s="8"/>
      <c r="D197" s="8"/>
      <c r="E197" s="8"/>
      <c r="F197" s="8"/>
    </row>
    <row r="198" ht="37.5" customHeight="1">
      <c r="A198" s="8"/>
      <c r="B198" s="8"/>
      <c r="C198" s="8"/>
      <c r="D198" s="8"/>
      <c r="E198" s="8"/>
      <c r="F198" s="8"/>
    </row>
    <row r="199" ht="37.5" customHeight="1">
      <c r="A199" s="8"/>
      <c r="B199" s="8"/>
      <c r="C199" s="8"/>
      <c r="D199" s="8"/>
      <c r="E199" s="8"/>
      <c r="F199" s="8"/>
    </row>
    <row r="200" ht="37.5" customHeight="1">
      <c r="A200" s="8"/>
      <c r="B200" s="8"/>
      <c r="C200" s="8"/>
      <c r="D200" s="8"/>
      <c r="E200" s="8"/>
      <c r="F200" s="8"/>
    </row>
    <row r="201" ht="37.5" customHeight="1">
      <c r="A201" s="8"/>
      <c r="B201" s="8"/>
      <c r="C201" s="8"/>
      <c r="D201" s="8"/>
      <c r="E201" s="8"/>
      <c r="F201" s="8"/>
    </row>
    <row r="202" ht="37.5" customHeight="1">
      <c r="A202" s="8"/>
      <c r="B202" s="8"/>
      <c r="C202" s="8"/>
      <c r="D202" s="8"/>
      <c r="E202" s="8"/>
      <c r="F202" s="8"/>
    </row>
    <row r="203" ht="37.5" customHeight="1">
      <c r="A203" s="8"/>
      <c r="B203" s="8"/>
      <c r="C203" s="8"/>
      <c r="D203" s="8"/>
      <c r="E203" s="8"/>
      <c r="F203" s="8"/>
    </row>
    <row r="204" ht="37.5" customHeight="1">
      <c r="A204" s="8"/>
      <c r="B204" s="8"/>
      <c r="C204" s="8"/>
      <c r="D204" s="8"/>
      <c r="E204" s="8"/>
      <c r="F204" s="8"/>
    </row>
    <row r="205" ht="37.5" customHeight="1">
      <c r="A205" s="8"/>
      <c r="B205" s="8"/>
      <c r="C205" s="8"/>
      <c r="D205" s="8"/>
      <c r="E205" s="8"/>
      <c r="F205" s="8"/>
    </row>
    <row r="206" ht="37.5" customHeight="1">
      <c r="A206" s="8"/>
      <c r="B206" s="8"/>
      <c r="C206" s="8"/>
      <c r="D206" s="8"/>
      <c r="E206" s="8"/>
      <c r="F206" s="8"/>
    </row>
    <row r="207" ht="37.5" customHeight="1">
      <c r="A207" s="8"/>
      <c r="B207" s="8"/>
      <c r="C207" s="8"/>
      <c r="D207" s="8"/>
      <c r="E207" s="8"/>
      <c r="F207" s="8"/>
    </row>
    <row r="208" ht="37.5" customHeight="1">
      <c r="A208" s="8"/>
      <c r="B208" s="8"/>
      <c r="C208" s="8"/>
      <c r="D208" s="8"/>
      <c r="E208" s="8"/>
      <c r="F208" s="8"/>
    </row>
    <row r="209" ht="37.5" customHeight="1">
      <c r="A209" s="8"/>
      <c r="B209" s="8"/>
      <c r="C209" s="8"/>
      <c r="D209" s="8"/>
      <c r="E209" s="8"/>
      <c r="F209" s="8"/>
    </row>
    <row r="210" ht="37.5" customHeight="1">
      <c r="A210" s="8"/>
      <c r="B210" s="8"/>
      <c r="C210" s="8"/>
      <c r="D210" s="8"/>
      <c r="E210" s="8"/>
      <c r="F210" s="8"/>
    </row>
    <row r="211" ht="37.5" customHeight="1">
      <c r="A211" s="8"/>
      <c r="B211" s="8"/>
      <c r="C211" s="8"/>
      <c r="D211" s="8"/>
      <c r="E211" s="8"/>
      <c r="F211" s="8"/>
    </row>
    <row r="212" ht="37.5" customHeight="1">
      <c r="A212" s="8"/>
      <c r="B212" s="8"/>
      <c r="C212" s="8"/>
      <c r="D212" s="8"/>
      <c r="E212" s="8"/>
      <c r="F212" s="8"/>
    </row>
    <row r="213" ht="37.5" customHeight="1">
      <c r="A213" s="8"/>
      <c r="B213" s="8"/>
      <c r="C213" s="8"/>
      <c r="D213" s="8"/>
      <c r="E213" s="8"/>
      <c r="F213" s="8"/>
    </row>
    <row r="214" ht="37.5" customHeight="1">
      <c r="A214" s="8"/>
      <c r="B214" s="8"/>
      <c r="C214" s="8"/>
      <c r="D214" s="8"/>
      <c r="E214" s="8"/>
      <c r="F214" s="8"/>
    </row>
    <row r="215" ht="37.5" customHeight="1">
      <c r="A215" s="8"/>
      <c r="B215" s="8"/>
      <c r="C215" s="8"/>
      <c r="D215" s="8"/>
      <c r="E215" s="8"/>
      <c r="F215" s="8"/>
    </row>
    <row r="216" ht="37.5" customHeight="1">
      <c r="A216" s="8"/>
      <c r="B216" s="8"/>
      <c r="C216" s="8"/>
      <c r="D216" s="8"/>
      <c r="E216" s="8"/>
      <c r="F216" s="8"/>
    </row>
    <row r="217" ht="37.5" customHeight="1">
      <c r="A217" s="8"/>
      <c r="B217" s="8"/>
      <c r="C217" s="8"/>
      <c r="D217" s="8"/>
      <c r="E217" s="8"/>
      <c r="F217" s="8"/>
    </row>
    <row r="218" ht="37.5" customHeight="1">
      <c r="A218" s="8"/>
      <c r="B218" s="8"/>
      <c r="C218" s="8"/>
      <c r="D218" s="8"/>
      <c r="E218" s="8"/>
      <c r="F218" s="8"/>
    </row>
    <row r="219" ht="37.5" customHeight="1">
      <c r="A219" s="8"/>
      <c r="B219" s="8"/>
      <c r="C219" s="8"/>
      <c r="D219" s="8"/>
      <c r="E219" s="8"/>
      <c r="F219" s="8"/>
    </row>
    <row r="220" ht="37.5" customHeight="1">
      <c r="A220" s="8"/>
      <c r="B220" s="8"/>
      <c r="C220" s="8"/>
      <c r="D220" s="8"/>
      <c r="E220" s="8"/>
      <c r="F220" s="8"/>
    </row>
    <row r="221" ht="37.5" customHeight="1">
      <c r="A221" s="8"/>
      <c r="B221" s="8"/>
      <c r="C221" s="8"/>
      <c r="D221" s="8"/>
      <c r="E221" s="8"/>
      <c r="F221" s="8"/>
    </row>
    <row r="222" ht="37.5" customHeight="1">
      <c r="A222" s="8"/>
      <c r="B222" s="8"/>
      <c r="C222" s="8"/>
      <c r="D222" s="8"/>
      <c r="E222" s="8"/>
      <c r="F222" s="8"/>
    </row>
    <row r="223" ht="37.5" customHeight="1">
      <c r="A223" s="8"/>
      <c r="B223" s="8"/>
      <c r="C223" s="8"/>
      <c r="D223" s="8"/>
      <c r="E223" s="8"/>
      <c r="F223" s="8"/>
    </row>
    <row r="224" ht="37.5" customHeight="1">
      <c r="A224" s="8"/>
      <c r="B224" s="8"/>
      <c r="C224" s="8"/>
      <c r="D224" s="8"/>
      <c r="E224" s="8"/>
      <c r="F224" s="8"/>
    </row>
    <row r="225" ht="37.5" customHeight="1">
      <c r="A225" s="8"/>
      <c r="B225" s="8"/>
      <c r="C225" s="8"/>
      <c r="D225" s="8"/>
      <c r="E225" s="8"/>
      <c r="F225" s="8"/>
    </row>
    <row r="226" ht="37.5" customHeight="1">
      <c r="A226" s="8"/>
      <c r="B226" s="8"/>
      <c r="C226" s="8"/>
      <c r="D226" s="8"/>
      <c r="E226" s="8"/>
      <c r="F226" s="8"/>
    </row>
    <row r="227" ht="37.5" customHeight="1">
      <c r="A227" s="8"/>
      <c r="B227" s="8"/>
      <c r="C227" s="8"/>
      <c r="D227" s="8"/>
      <c r="E227" s="8"/>
      <c r="F227" s="8"/>
    </row>
    <row r="228" ht="37.5" customHeight="1">
      <c r="A228" s="8"/>
      <c r="B228" s="8"/>
      <c r="C228" s="8"/>
      <c r="D228" s="8"/>
      <c r="E228" s="8"/>
      <c r="F228" s="8"/>
    </row>
    <row r="229" ht="37.5" customHeight="1">
      <c r="A229" s="8"/>
      <c r="B229" s="8"/>
      <c r="C229" s="8"/>
      <c r="D229" s="8"/>
      <c r="E229" s="8"/>
      <c r="F229" s="8"/>
    </row>
    <row r="230" ht="37.5" customHeight="1">
      <c r="A230" s="8"/>
      <c r="B230" s="8"/>
      <c r="C230" s="8"/>
      <c r="D230" s="8"/>
      <c r="E230" s="8"/>
      <c r="F230" s="8"/>
    </row>
    <row r="231" ht="37.5" customHeight="1">
      <c r="A231" s="8"/>
      <c r="B231" s="8"/>
      <c r="C231" s="8"/>
      <c r="D231" s="8"/>
      <c r="E231" s="8"/>
      <c r="F231" s="8"/>
    </row>
    <row r="232" ht="37.5" customHeight="1">
      <c r="A232" s="8"/>
      <c r="B232" s="8"/>
      <c r="C232" s="8"/>
      <c r="D232" s="8"/>
      <c r="E232" s="8"/>
      <c r="F232" s="8"/>
    </row>
    <row r="233" ht="37.5" customHeight="1">
      <c r="A233" s="8"/>
      <c r="B233" s="8"/>
      <c r="C233" s="8"/>
      <c r="D233" s="8"/>
      <c r="E233" s="8"/>
      <c r="F233" s="8"/>
    </row>
    <row r="234" ht="37.5" customHeight="1">
      <c r="A234" s="8"/>
      <c r="B234" s="8"/>
      <c r="C234" s="8"/>
      <c r="D234" s="8"/>
      <c r="E234" s="8"/>
      <c r="F234" s="8"/>
    </row>
    <row r="235" ht="37.5" customHeight="1">
      <c r="A235" s="8"/>
      <c r="B235" s="8"/>
      <c r="C235" s="8"/>
      <c r="D235" s="8"/>
      <c r="E235" s="8"/>
      <c r="F235" s="8"/>
    </row>
    <row r="236" ht="37.5" customHeight="1">
      <c r="A236" s="8"/>
      <c r="B236" s="8"/>
      <c r="C236" s="8"/>
      <c r="D236" s="8"/>
      <c r="E236" s="8"/>
      <c r="F236" s="8"/>
    </row>
    <row r="237" ht="37.5" customHeight="1">
      <c r="A237" s="8"/>
      <c r="B237" s="8"/>
      <c r="C237" s="8"/>
      <c r="D237" s="8"/>
      <c r="E237" s="8"/>
      <c r="F237" s="8"/>
    </row>
    <row r="238" ht="37.5" customHeight="1">
      <c r="A238" s="8"/>
      <c r="B238" s="8"/>
      <c r="C238" s="8"/>
      <c r="D238" s="8"/>
      <c r="E238" s="8"/>
      <c r="F238" s="8"/>
    </row>
    <row r="239" ht="37.5" customHeight="1">
      <c r="A239" s="8"/>
      <c r="B239" s="8"/>
      <c r="C239" s="8"/>
      <c r="D239" s="8"/>
      <c r="E239" s="8"/>
      <c r="F239" s="8"/>
    </row>
    <row r="240" ht="37.5" customHeight="1">
      <c r="A240" s="8"/>
      <c r="B240" s="8"/>
      <c r="C240" s="8"/>
      <c r="D240" s="8"/>
      <c r="E240" s="8"/>
      <c r="F240" s="8"/>
    </row>
    <row r="241" ht="37.5" customHeight="1">
      <c r="A241" s="8"/>
      <c r="B241" s="8"/>
      <c r="C241" s="8"/>
      <c r="D241" s="8"/>
      <c r="E241" s="8"/>
      <c r="F241" s="8"/>
    </row>
    <row r="242" ht="37.5" customHeight="1">
      <c r="A242" s="8"/>
      <c r="B242" s="8"/>
      <c r="C242" s="8"/>
      <c r="D242" s="8"/>
      <c r="E242" s="8"/>
      <c r="F242" s="8"/>
    </row>
    <row r="243" ht="37.5" customHeight="1">
      <c r="A243" s="8"/>
      <c r="B243" s="8"/>
      <c r="C243" s="8"/>
      <c r="D243" s="8"/>
      <c r="E243" s="8"/>
      <c r="F243" s="8"/>
    </row>
    <row r="244" ht="37.5" customHeight="1">
      <c r="A244" s="8"/>
      <c r="B244" s="8"/>
      <c r="C244" s="8"/>
      <c r="D244" s="8"/>
      <c r="E244" s="8"/>
      <c r="F244" s="8"/>
    </row>
    <row r="245" ht="37.5" customHeight="1">
      <c r="A245" s="8"/>
      <c r="B245" s="8"/>
      <c r="C245" s="8"/>
      <c r="D245" s="8"/>
      <c r="E245" s="8"/>
      <c r="F245" s="8"/>
    </row>
    <row r="246" ht="37.5" customHeight="1">
      <c r="A246" s="8"/>
      <c r="B246" s="8"/>
      <c r="C246" s="8"/>
      <c r="D246" s="8"/>
      <c r="E246" s="8"/>
      <c r="F246" s="8"/>
    </row>
    <row r="247" ht="37.5" customHeight="1">
      <c r="A247" s="8"/>
      <c r="B247" s="8"/>
      <c r="C247" s="8"/>
      <c r="D247" s="8"/>
      <c r="E247" s="8"/>
      <c r="F247" s="8"/>
    </row>
    <row r="248" ht="37.5" customHeight="1">
      <c r="A248" s="8"/>
      <c r="B248" s="8"/>
      <c r="C248" s="8"/>
      <c r="D248" s="8"/>
      <c r="E248" s="8"/>
      <c r="F248" s="8"/>
    </row>
    <row r="249" ht="37.5" customHeight="1">
      <c r="A249" s="8"/>
      <c r="B249" s="8"/>
      <c r="C249" s="8"/>
      <c r="D249" s="8"/>
      <c r="E249" s="8"/>
      <c r="F249" s="8"/>
    </row>
    <row r="250" ht="37.5" customHeight="1">
      <c r="A250" s="8"/>
      <c r="B250" s="8"/>
      <c r="C250" s="8"/>
      <c r="D250" s="8"/>
      <c r="E250" s="8"/>
      <c r="F250" s="8"/>
    </row>
    <row r="251" ht="37.5" customHeight="1">
      <c r="A251" s="8"/>
      <c r="B251" s="8"/>
      <c r="C251" s="8"/>
      <c r="D251" s="8"/>
      <c r="E251" s="8"/>
      <c r="F251" s="8"/>
    </row>
    <row r="252" ht="37.5" customHeight="1">
      <c r="A252" s="8"/>
      <c r="B252" s="8"/>
      <c r="C252" s="8"/>
      <c r="D252" s="8"/>
      <c r="E252" s="8"/>
      <c r="F252" s="8"/>
    </row>
    <row r="253" ht="37.5" customHeight="1">
      <c r="A253" s="8"/>
      <c r="B253" s="8"/>
      <c r="C253" s="8"/>
      <c r="D253" s="8"/>
      <c r="E253" s="8"/>
      <c r="F253" s="8"/>
    </row>
    <row r="254" ht="37.5" customHeight="1">
      <c r="A254" s="8"/>
      <c r="B254" s="8"/>
      <c r="C254" s="8"/>
      <c r="D254" s="8"/>
      <c r="E254" s="8"/>
      <c r="F254" s="8"/>
    </row>
    <row r="255" ht="37.5" customHeight="1">
      <c r="A255" s="8"/>
      <c r="B255" s="8"/>
      <c r="C255" s="8"/>
      <c r="D255" s="8"/>
      <c r="E255" s="8"/>
      <c r="F255" s="8"/>
    </row>
    <row r="256" ht="37.5" customHeight="1">
      <c r="A256" s="8"/>
      <c r="B256" s="8"/>
      <c r="C256" s="8"/>
      <c r="D256" s="8"/>
      <c r="E256" s="8"/>
      <c r="F256" s="8"/>
    </row>
    <row r="257" ht="37.5" customHeight="1">
      <c r="A257" s="8"/>
      <c r="B257" s="8"/>
      <c r="C257" s="8"/>
      <c r="D257" s="8"/>
      <c r="E257" s="8"/>
      <c r="F257" s="8"/>
    </row>
    <row r="258" ht="37.5" customHeight="1">
      <c r="A258" s="8"/>
      <c r="B258" s="8"/>
      <c r="C258" s="8"/>
      <c r="D258" s="8"/>
      <c r="E258" s="8"/>
      <c r="F258" s="8"/>
    </row>
    <row r="259" ht="37.5" customHeight="1">
      <c r="A259" s="8"/>
      <c r="B259" s="8"/>
      <c r="C259" s="8"/>
      <c r="D259" s="8"/>
      <c r="E259" s="8"/>
      <c r="F259" s="8"/>
    </row>
    <row r="260" ht="37.5" customHeight="1">
      <c r="A260" s="8"/>
      <c r="B260" s="8"/>
      <c r="C260" s="8"/>
      <c r="D260" s="8"/>
      <c r="E260" s="8"/>
      <c r="F260" s="8"/>
    </row>
    <row r="261" ht="37.5" customHeight="1">
      <c r="A261" s="8"/>
      <c r="B261" s="8"/>
      <c r="C261" s="8"/>
      <c r="D261" s="8"/>
      <c r="E261" s="8"/>
      <c r="F261" s="8"/>
    </row>
    <row r="262" ht="37.5" customHeight="1">
      <c r="A262" s="8"/>
      <c r="B262" s="8"/>
      <c r="C262" s="8"/>
      <c r="D262" s="8"/>
      <c r="E262" s="8"/>
      <c r="F262" s="8"/>
    </row>
    <row r="263" ht="37.5" customHeight="1">
      <c r="A263" s="8"/>
      <c r="B263" s="8"/>
      <c r="C263" s="8"/>
      <c r="D263" s="8"/>
      <c r="E263" s="8"/>
      <c r="F263" s="8"/>
    </row>
    <row r="264" ht="37.5" customHeight="1">
      <c r="A264" s="8"/>
      <c r="B264" s="8"/>
      <c r="C264" s="8"/>
      <c r="D264" s="8"/>
      <c r="E264" s="8"/>
      <c r="F264" s="8"/>
    </row>
    <row r="265" ht="37.5" customHeight="1">
      <c r="A265" s="8"/>
      <c r="B265" s="8"/>
      <c r="C265" s="8"/>
      <c r="D265" s="8"/>
      <c r="E265" s="8"/>
      <c r="F265" s="8"/>
    </row>
    <row r="266" ht="37.5" customHeight="1">
      <c r="A266" s="8"/>
      <c r="B266" s="8"/>
      <c r="C266" s="8"/>
      <c r="D266" s="8"/>
      <c r="E266" s="8"/>
      <c r="F266" s="8"/>
    </row>
    <row r="267" ht="37.5" customHeight="1">
      <c r="A267" s="8"/>
      <c r="B267" s="8"/>
      <c r="C267" s="8"/>
      <c r="D267" s="8"/>
      <c r="E267" s="8"/>
      <c r="F267" s="8"/>
    </row>
    <row r="268" ht="37.5" customHeight="1">
      <c r="A268" s="8"/>
      <c r="B268" s="8"/>
      <c r="C268" s="8"/>
      <c r="D268" s="8"/>
      <c r="E268" s="8"/>
      <c r="F268" s="8"/>
    </row>
    <row r="269" ht="37.5" customHeight="1">
      <c r="A269" s="8"/>
      <c r="B269" s="8"/>
      <c r="C269" s="8"/>
      <c r="D269" s="8"/>
      <c r="E269" s="8"/>
      <c r="F269" s="8"/>
    </row>
    <row r="270" ht="37.5" customHeight="1">
      <c r="A270" s="8"/>
      <c r="B270" s="8"/>
      <c r="C270" s="8"/>
      <c r="D270" s="8"/>
      <c r="E270" s="8"/>
      <c r="F270" s="8"/>
    </row>
    <row r="271" ht="37.5" customHeight="1">
      <c r="A271" s="8"/>
      <c r="B271" s="8"/>
      <c r="C271" s="8"/>
      <c r="D271" s="8"/>
      <c r="E271" s="8"/>
      <c r="F271" s="8"/>
    </row>
    <row r="272" ht="37.5" customHeight="1">
      <c r="A272" s="8"/>
      <c r="B272" s="8"/>
      <c r="C272" s="8"/>
      <c r="D272" s="8"/>
      <c r="E272" s="8"/>
      <c r="F272" s="8"/>
    </row>
    <row r="273" ht="37.5" customHeight="1">
      <c r="A273" s="8"/>
      <c r="B273" s="8"/>
      <c r="C273" s="8"/>
      <c r="D273" s="8"/>
      <c r="E273" s="8"/>
      <c r="F273" s="8"/>
    </row>
    <row r="274" ht="37.5" customHeight="1">
      <c r="A274" s="8"/>
      <c r="B274" s="8"/>
      <c r="C274" s="8"/>
      <c r="D274" s="8"/>
      <c r="E274" s="8"/>
      <c r="F274" s="8"/>
    </row>
    <row r="275" ht="37.5" customHeight="1">
      <c r="A275" s="8"/>
      <c r="B275" s="8"/>
      <c r="C275" s="8"/>
      <c r="D275" s="8"/>
      <c r="E275" s="8"/>
      <c r="F275" s="8"/>
    </row>
    <row r="276" ht="37.5" customHeight="1">
      <c r="A276" s="8"/>
      <c r="B276" s="8"/>
      <c r="C276" s="8"/>
      <c r="D276" s="8"/>
      <c r="E276" s="8"/>
      <c r="F276" s="8"/>
    </row>
    <row r="277" ht="37.5" customHeight="1">
      <c r="A277" s="8"/>
      <c r="B277" s="8"/>
      <c r="C277" s="8"/>
      <c r="D277" s="8"/>
      <c r="E277" s="8"/>
      <c r="F277" s="8"/>
    </row>
    <row r="278" ht="37.5" customHeight="1">
      <c r="A278" s="8"/>
      <c r="B278" s="8"/>
      <c r="C278" s="8"/>
      <c r="D278" s="8"/>
      <c r="E278" s="8"/>
      <c r="F278" s="8"/>
    </row>
    <row r="279" ht="37.5" customHeight="1">
      <c r="A279" s="8"/>
      <c r="B279" s="8"/>
      <c r="C279" s="8"/>
      <c r="D279" s="8"/>
      <c r="E279" s="8"/>
      <c r="F279" s="8"/>
    </row>
    <row r="280" ht="37.5" customHeight="1">
      <c r="A280" s="8"/>
      <c r="B280" s="8"/>
      <c r="C280" s="8"/>
      <c r="D280" s="8"/>
      <c r="E280" s="8"/>
      <c r="F280" s="8"/>
    </row>
    <row r="281" ht="37.5" customHeight="1">
      <c r="A281" s="8"/>
      <c r="B281" s="8"/>
      <c r="C281" s="8"/>
      <c r="D281" s="8"/>
      <c r="E281" s="8"/>
      <c r="F281" s="8"/>
    </row>
    <row r="282" ht="37.5" customHeight="1">
      <c r="A282" s="8"/>
      <c r="B282" s="8"/>
      <c r="C282" s="8"/>
      <c r="D282" s="8"/>
      <c r="E282" s="8"/>
      <c r="F282" s="8"/>
    </row>
    <row r="283" ht="37.5" customHeight="1">
      <c r="A283" s="8"/>
      <c r="B283" s="8"/>
      <c r="C283" s="8"/>
      <c r="D283" s="8"/>
      <c r="E283" s="8"/>
      <c r="F283" s="8"/>
    </row>
    <row r="284" ht="37.5" customHeight="1">
      <c r="A284" s="8"/>
      <c r="B284" s="8"/>
      <c r="C284" s="8"/>
      <c r="D284" s="8"/>
      <c r="E284" s="8"/>
      <c r="F284" s="8"/>
    </row>
    <row r="285" ht="37.5" customHeight="1">
      <c r="A285" s="8"/>
      <c r="B285" s="8"/>
      <c r="C285" s="8"/>
      <c r="D285" s="8"/>
      <c r="E285" s="8"/>
      <c r="F285" s="8"/>
    </row>
    <row r="286" ht="37.5" customHeight="1">
      <c r="A286" s="8"/>
      <c r="B286" s="8"/>
      <c r="C286" s="8"/>
      <c r="D286" s="8"/>
      <c r="E286" s="8"/>
      <c r="F286" s="8"/>
    </row>
    <row r="287" ht="37.5" customHeight="1">
      <c r="A287" s="8"/>
      <c r="B287" s="8"/>
      <c r="C287" s="8"/>
      <c r="D287" s="8"/>
      <c r="E287" s="8"/>
      <c r="F287" s="8"/>
    </row>
    <row r="288" ht="37.5" customHeight="1">
      <c r="A288" s="8"/>
      <c r="B288" s="8"/>
      <c r="C288" s="8"/>
      <c r="D288" s="8"/>
      <c r="E288" s="8"/>
      <c r="F288" s="8"/>
    </row>
    <row r="289" ht="37.5" customHeight="1">
      <c r="A289" s="8"/>
      <c r="B289" s="8"/>
      <c r="C289" s="8"/>
      <c r="D289" s="8"/>
      <c r="E289" s="8"/>
      <c r="F289" s="8"/>
    </row>
    <row r="290" ht="37.5" customHeight="1">
      <c r="A290" s="8"/>
      <c r="B290" s="8"/>
      <c r="C290" s="8"/>
      <c r="D290" s="8"/>
      <c r="E290" s="8"/>
      <c r="F290" s="8"/>
    </row>
    <row r="291" ht="37.5" customHeight="1">
      <c r="A291" s="8"/>
      <c r="B291" s="8"/>
      <c r="C291" s="8"/>
      <c r="D291" s="8"/>
      <c r="E291" s="8"/>
      <c r="F291" s="8"/>
    </row>
    <row r="292" ht="37.5" customHeight="1">
      <c r="A292" s="8"/>
      <c r="B292" s="8"/>
      <c r="C292" s="8"/>
      <c r="D292" s="8"/>
      <c r="E292" s="8"/>
      <c r="F292" s="8"/>
    </row>
    <row r="293" ht="37.5" customHeight="1">
      <c r="A293" s="8"/>
      <c r="B293" s="8"/>
      <c r="C293" s="8"/>
      <c r="D293" s="8"/>
      <c r="E293" s="8"/>
      <c r="F293" s="8"/>
    </row>
    <row r="294" ht="37.5" customHeight="1">
      <c r="A294" s="8"/>
      <c r="B294" s="8"/>
      <c r="C294" s="8"/>
      <c r="D294" s="8"/>
      <c r="E294" s="8"/>
      <c r="F294" s="8"/>
    </row>
    <row r="295" ht="37.5" customHeight="1">
      <c r="A295" s="8"/>
      <c r="B295" s="8"/>
      <c r="C295" s="8"/>
      <c r="D295" s="8"/>
      <c r="E295" s="8"/>
      <c r="F295" s="8"/>
    </row>
    <row r="296" ht="37.5" customHeight="1">
      <c r="A296" s="8"/>
      <c r="B296" s="8"/>
      <c r="C296" s="8"/>
      <c r="D296" s="8"/>
      <c r="E296" s="8"/>
      <c r="F296" s="8"/>
    </row>
    <row r="297" ht="37.5" customHeight="1">
      <c r="A297" s="8"/>
      <c r="B297" s="8"/>
      <c r="C297" s="8"/>
      <c r="D297" s="8"/>
      <c r="E297" s="8"/>
      <c r="F297" s="8"/>
    </row>
    <row r="298" ht="37.5" customHeight="1">
      <c r="A298" s="8"/>
      <c r="B298" s="8"/>
      <c r="C298" s="8"/>
      <c r="D298" s="8"/>
      <c r="E298" s="8"/>
      <c r="F298" s="8"/>
    </row>
    <row r="299" ht="37.5" customHeight="1">
      <c r="A299" s="8"/>
      <c r="B299" s="8"/>
      <c r="C299" s="8"/>
      <c r="D299" s="8"/>
      <c r="E299" s="8"/>
      <c r="F299" s="8"/>
    </row>
    <row r="300" ht="37.5" customHeight="1">
      <c r="A300" s="8"/>
      <c r="B300" s="8"/>
      <c r="C300" s="8"/>
      <c r="D300" s="8"/>
      <c r="E300" s="8"/>
      <c r="F300" s="8"/>
    </row>
    <row r="301" ht="37.5" customHeight="1">
      <c r="A301" s="8"/>
      <c r="B301" s="8"/>
      <c r="C301" s="8"/>
      <c r="D301" s="8"/>
      <c r="E301" s="8"/>
      <c r="F301" s="8"/>
    </row>
    <row r="302" ht="37.5" customHeight="1">
      <c r="A302" s="8"/>
      <c r="B302" s="8"/>
      <c r="C302" s="8"/>
      <c r="D302" s="8"/>
      <c r="E302" s="8"/>
      <c r="F302" s="8"/>
    </row>
    <row r="303" ht="37.5" customHeight="1">
      <c r="A303" s="8"/>
      <c r="B303" s="8"/>
      <c r="C303" s="8"/>
      <c r="D303" s="8"/>
      <c r="E303" s="8"/>
      <c r="F303" s="8"/>
    </row>
    <row r="304" ht="37.5" customHeight="1">
      <c r="A304" s="8"/>
      <c r="B304" s="8"/>
      <c r="C304" s="8"/>
      <c r="D304" s="8"/>
      <c r="E304" s="8"/>
      <c r="F304" s="8"/>
    </row>
    <row r="305" ht="37.5" customHeight="1">
      <c r="A305" s="8"/>
      <c r="B305" s="8"/>
      <c r="C305" s="8"/>
      <c r="D305" s="8"/>
      <c r="E305" s="8"/>
      <c r="F305" s="8"/>
    </row>
    <row r="306" ht="37.5" customHeight="1">
      <c r="A306" s="8"/>
      <c r="B306" s="8"/>
      <c r="C306" s="8"/>
      <c r="D306" s="8"/>
      <c r="E306" s="8"/>
      <c r="F306" s="8"/>
    </row>
    <row r="307" ht="37.5" customHeight="1">
      <c r="A307" s="8"/>
      <c r="B307" s="8"/>
      <c r="C307" s="8"/>
      <c r="D307" s="8"/>
      <c r="E307" s="8"/>
      <c r="F307" s="8"/>
    </row>
    <row r="308" ht="37.5" customHeight="1">
      <c r="A308" s="8"/>
      <c r="B308" s="8"/>
      <c r="C308" s="8"/>
      <c r="D308" s="8"/>
      <c r="E308" s="8"/>
      <c r="F308" s="8"/>
    </row>
    <row r="309" ht="37.5" customHeight="1">
      <c r="A309" s="8"/>
      <c r="B309" s="8"/>
      <c r="C309" s="8"/>
      <c r="D309" s="8"/>
      <c r="E309" s="8"/>
      <c r="F309" s="8"/>
    </row>
    <row r="310" ht="37.5" customHeight="1">
      <c r="A310" s="8"/>
      <c r="B310" s="8"/>
      <c r="C310" s="8"/>
      <c r="D310" s="8"/>
      <c r="E310" s="8"/>
      <c r="F310" s="8"/>
    </row>
    <row r="311" ht="37.5" customHeight="1">
      <c r="A311" s="8"/>
      <c r="B311" s="8"/>
      <c r="C311" s="8"/>
      <c r="D311" s="8"/>
      <c r="E311" s="8"/>
      <c r="F311" s="8"/>
    </row>
    <row r="312" ht="37.5" customHeight="1">
      <c r="A312" s="8"/>
      <c r="B312" s="8"/>
      <c r="C312" s="8"/>
      <c r="D312" s="8"/>
      <c r="E312" s="8"/>
      <c r="F312" s="8"/>
    </row>
    <row r="313" ht="37.5" customHeight="1">
      <c r="A313" s="8"/>
      <c r="B313" s="8"/>
      <c r="C313" s="8"/>
      <c r="D313" s="8"/>
      <c r="E313" s="8"/>
      <c r="F313" s="8"/>
    </row>
    <row r="314" ht="37.5" customHeight="1">
      <c r="A314" s="8"/>
      <c r="B314" s="8"/>
      <c r="C314" s="8"/>
      <c r="D314" s="8"/>
      <c r="E314" s="8"/>
      <c r="F314" s="8"/>
    </row>
    <row r="315" ht="37.5" customHeight="1">
      <c r="A315" s="8"/>
      <c r="B315" s="8"/>
      <c r="C315" s="8"/>
      <c r="D315" s="8"/>
      <c r="E315" s="8"/>
      <c r="F315" s="8"/>
    </row>
    <row r="316" ht="37.5" customHeight="1">
      <c r="A316" s="8"/>
      <c r="B316" s="8"/>
      <c r="C316" s="8"/>
      <c r="D316" s="8"/>
      <c r="E316" s="8"/>
      <c r="F316" s="8"/>
    </row>
    <row r="317" ht="37.5" customHeight="1">
      <c r="A317" s="8"/>
      <c r="B317" s="8"/>
      <c r="C317" s="8"/>
      <c r="D317" s="8"/>
      <c r="E317" s="8"/>
      <c r="F317" s="8"/>
    </row>
    <row r="318" ht="37.5" customHeight="1">
      <c r="A318" s="8"/>
      <c r="B318" s="8"/>
      <c r="C318" s="8"/>
      <c r="D318" s="8"/>
      <c r="E318" s="8"/>
      <c r="F318" s="8"/>
    </row>
    <row r="319" ht="37.5" customHeight="1">
      <c r="A319" s="8"/>
      <c r="B319" s="8"/>
      <c r="C319" s="8"/>
      <c r="D319" s="8"/>
      <c r="E319" s="8"/>
      <c r="F319" s="8"/>
    </row>
    <row r="320" ht="37.5" customHeight="1">
      <c r="A320" s="8"/>
      <c r="B320" s="8"/>
      <c r="C320" s="8"/>
      <c r="D320" s="8"/>
      <c r="E320" s="8"/>
      <c r="F320" s="8"/>
    </row>
    <row r="321" ht="37.5" customHeight="1">
      <c r="A321" s="8"/>
      <c r="B321" s="8"/>
      <c r="C321" s="8"/>
      <c r="D321" s="8"/>
      <c r="E321" s="8"/>
      <c r="F321" s="8"/>
    </row>
    <row r="322" ht="37.5" customHeight="1">
      <c r="A322" s="8"/>
      <c r="B322" s="8"/>
      <c r="C322" s="8"/>
      <c r="D322" s="8"/>
      <c r="E322" s="8"/>
      <c r="F322" s="8"/>
    </row>
    <row r="323" ht="37.5" customHeight="1">
      <c r="A323" s="8"/>
      <c r="B323" s="8"/>
      <c r="C323" s="8"/>
      <c r="D323" s="8"/>
      <c r="E323" s="8"/>
      <c r="F323" s="8"/>
    </row>
    <row r="324" ht="37.5" customHeight="1">
      <c r="A324" s="8"/>
      <c r="B324" s="8"/>
      <c r="C324" s="8"/>
      <c r="D324" s="8"/>
      <c r="E324" s="8"/>
      <c r="F324" s="8"/>
    </row>
    <row r="325" ht="37.5" customHeight="1">
      <c r="A325" s="8"/>
      <c r="B325" s="8"/>
      <c r="C325" s="8"/>
      <c r="D325" s="8"/>
      <c r="E325" s="8"/>
      <c r="F325" s="8"/>
    </row>
    <row r="326" ht="37.5" customHeight="1">
      <c r="A326" s="8"/>
      <c r="B326" s="8"/>
      <c r="C326" s="8"/>
      <c r="D326" s="8"/>
      <c r="E326" s="8"/>
      <c r="F326" s="8"/>
    </row>
    <row r="327" ht="37.5" customHeight="1">
      <c r="A327" s="8"/>
      <c r="B327" s="8"/>
      <c r="C327" s="8"/>
      <c r="D327" s="8"/>
      <c r="E327" s="8"/>
      <c r="F327" s="8"/>
    </row>
    <row r="328" ht="37.5" customHeight="1">
      <c r="A328" s="8"/>
      <c r="B328" s="8"/>
      <c r="C328" s="8"/>
      <c r="D328" s="8"/>
      <c r="E328" s="8"/>
      <c r="F328" s="8"/>
    </row>
    <row r="329" ht="37.5" customHeight="1">
      <c r="A329" s="8"/>
      <c r="B329" s="8"/>
      <c r="C329" s="8"/>
      <c r="D329" s="8"/>
      <c r="E329" s="8"/>
      <c r="F329" s="8"/>
    </row>
    <row r="330" ht="37.5" customHeight="1">
      <c r="A330" s="8"/>
      <c r="B330" s="8"/>
      <c r="C330" s="8"/>
      <c r="D330" s="8"/>
      <c r="E330" s="8"/>
      <c r="F330" s="8"/>
    </row>
    <row r="331" ht="37.5" customHeight="1">
      <c r="A331" s="8"/>
      <c r="B331" s="8"/>
      <c r="C331" s="8"/>
      <c r="D331" s="8"/>
      <c r="E331" s="8"/>
      <c r="F331" s="8"/>
    </row>
    <row r="332" ht="37.5" customHeight="1">
      <c r="A332" s="8"/>
      <c r="B332" s="8"/>
      <c r="C332" s="8"/>
      <c r="D332" s="8"/>
      <c r="E332" s="8"/>
      <c r="F332" s="8"/>
    </row>
    <row r="333" ht="37.5" customHeight="1">
      <c r="A333" s="8"/>
      <c r="B333" s="8"/>
      <c r="C333" s="8"/>
      <c r="D333" s="8"/>
      <c r="E333" s="8"/>
      <c r="F333" s="8"/>
    </row>
    <row r="334" ht="37.5" customHeight="1">
      <c r="A334" s="8"/>
      <c r="B334" s="8"/>
      <c r="C334" s="8"/>
      <c r="D334" s="8"/>
      <c r="E334" s="8"/>
      <c r="F334" s="8"/>
    </row>
    <row r="335" ht="37.5" customHeight="1">
      <c r="A335" s="8"/>
      <c r="B335" s="8"/>
      <c r="C335" s="8"/>
      <c r="D335" s="8"/>
      <c r="E335" s="8"/>
      <c r="F335" s="8"/>
    </row>
    <row r="336" ht="37.5" customHeight="1">
      <c r="A336" s="8"/>
      <c r="B336" s="8"/>
      <c r="C336" s="8"/>
      <c r="D336" s="8"/>
      <c r="E336" s="8"/>
      <c r="F336" s="8"/>
    </row>
    <row r="337" ht="37.5" customHeight="1">
      <c r="A337" s="8"/>
      <c r="B337" s="8"/>
      <c r="C337" s="8"/>
      <c r="D337" s="8"/>
      <c r="E337" s="8"/>
      <c r="F337" s="8"/>
    </row>
    <row r="338" ht="37.5" customHeight="1">
      <c r="A338" s="8"/>
      <c r="B338" s="8"/>
      <c r="C338" s="8"/>
      <c r="D338" s="8"/>
      <c r="E338" s="8"/>
      <c r="F338" s="8"/>
    </row>
    <row r="339" ht="37.5" customHeight="1">
      <c r="A339" s="8"/>
      <c r="B339" s="8"/>
      <c r="C339" s="8"/>
      <c r="D339" s="8"/>
      <c r="E339" s="8"/>
      <c r="F339" s="8"/>
    </row>
    <row r="340" ht="37.5" customHeight="1">
      <c r="A340" s="8"/>
      <c r="B340" s="8"/>
      <c r="C340" s="8"/>
      <c r="D340" s="8"/>
      <c r="E340" s="8"/>
      <c r="F340" s="8"/>
    </row>
    <row r="341" ht="37.5" customHeight="1">
      <c r="A341" s="8"/>
      <c r="B341" s="8"/>
      <c r="C341" s="8"/>
      <c r="D341" s="8"/>
      <c r="E341" s="8"/>
      <c r="F341" s="8"/>
    </row>
    <row r="342" ht="37.5" customHeight="1">
      <c r="A342" s="8"/>
      <c r="B342" s="8"/>
      <c r="C342" s="8"/>
      <c r="D342" s="8"/>
      <c r="E342" s="8"/>
      <c r="F342" s="8"/>
    </row>
    <row r="343" ht="37.5" customHeight="1">
      <c r="A343" s="8"/>
      <c r="B343" s="8"/>
      <c r="C343" s="8"/>
      <c r="D343" s="8"/>
      <c r="E343" s="8"/>
      <c r="F343" s="8"/>
    </row>
    <row r="344" ht="37.5" customHeight="1">
      <c r="A344" s="8"/>
      <c r="B344" s="8"/>
      <c r="C344" s="8"/>
      <c r="D344" s="8"/>
      <c r="E344" s="8"/>
      <c r="F344" s="8"/>
    </row>
    <row r="345" ht="37.5" customHeight="1">
      <c r="A345" s="8"/>
      <c r="B345" s="8"/>
      <c r="C345" s="8"/>
      <c r="D345" s="8"/>
      <c r="E345" s="8"/>
      <c r="F345" s="8"/>
    </row>
    <row r="346" ht="37.5" customHeight="1">
      <c r="A346" s="8"/>
      <c r="B346" s="8"/>
      <c r="C346" s="8"/>
      <c r="D346" s="8"/>
      <c r="E346" s="8"/>
      <c r="F346" s="8"/>
    </row>
    <row r="347" ht="37.5" customHeight="1">
      <c r="A347" s="8"/>
      <c r="B347" s="8"/>
      <c r="C347" s="8"/>
      <c r="D347" s="8"/>
      <c r="E347" s="8"/>
      <c r="F347" s="8"/>
    </row>
    <row r="348" ht="37.5" customHeight="1">
      <c r="A348" s="8"/>
      <c r="B348" s="8"/>
      <c r="C348" s="8"/>
      <c r="D348" s="8"/>
      <c r="E348" s="8"/>
      <c r="F348" s="8"/>
    </row>
    <row r="349" ht="37.5" customHeight="1">
      <c r="A349" s="8"/>
      <c r="B349" s="8"/>
      <c r="C349" s="8"/>
      <c r="D349" s="8"/>
      <c r="E349" s="8"/>
      <c r="F349" s="8"/>
    </row>
    <row r="350" ht="37.5" customHeight="1">
      <c r="A350" s="8"/>
      <c r="B350" s="8"/>
      <c r="C350" s="8"/>
      <c r="D350" s="8"/>
      <c r="E350" s="8"/>
      <c r="F350" s="8"/>
    </row>
    <row r="351" ht="37.5" customHeight="1">
      <c r="A351" s="8"/>
      <c r="B351" s="8"/>
      <c r="C351" s="8"/>
      <c r="D351" s="8"/>
      <c r="E351" s="8"/>
      <c r="F351" s="8"/>
    </row>
    <row r="352" ht="37.5" customHeight="1">
      <c r="A352" s="8"/>
      <c r="B352" s="8"/>
      <c r="C352" s="8"/>
      <c r="D352" s="8"/>
      <c r="E352" s="8"/>
      <c r="F352" s="8"/>
    </row>
    <row r="353" ht="37.5" customHeight="1">
      <c r="A353" s="8"/>
      <c r="B353" s="8"/>
      <c r="C353" s="8"/>
      <c r="D353" s="8"/>
      <c r="E353" s="8"/>
      <c r="F353" s="8"/>
    </row>
    <row r="354" ht="37.5" customHeight="1">
      <c r="A354" s="8"/>
      <c r="B354" s="8"/>
      <c r="C354" s="8"/>
      <c r="D354" s="8"/>
      <c r="E354" s="8"/>
      <c r="F354" s="8"/>
    </row>
    <row r="355" ht="37.5" customHeight="1">
      <c r="A355" s="8"/>
      <c r="B355" s="8"/>
      <c r="C355" s="8"/>
      <c r="D355" s="8"/>
      <c r="E355" s="8"/>
      <c r="F355" s="8"/>
    </row>
    <row r="356" ht="37.5" customHeight="1">
      <c r="A356" s="8"/>
      <c r="B356" s="8"/>
      <c r="C356" s="8"/>
      <c r="D356" s="8"/>
      <c r="E356" s="8"/>
      <c r="F356" s="8"/>
    </row>
    <row r="357" ht="37.5" customHeight="1">
      <c r="A357" s="8"/>
      <c r="B357" s="8"/>
      <c r="C357" s="8"/>
      <c r="D357" s="8"/>
      <c r="E357" s="8"/>
      <c r="F357" s="8"/>
    </row>
    <row r="358" ht="37.5" customHeight="1">
      <c r="A358" s="8"/>
      <c r="B358" s="8"/>
      <c r="C358" s="8"/>
      <c r="D358" s="8"/>
      <c r="E358" s="8"/>
      <c r="F358" s="8"/>
    </row>
    <row r="359" ht="37.5" customHeight="1">
      <c r="A359" s="8"/>
      <c r="B359" s="8"/>
      <c r="C359" s="8"/>
      <c r="D359" s="8"/>
      <c r="E359" s="8"/>
      <c r="F359" s="8"/>
    </row>
    <row r="360" ht="37.5" customHeight="1">
      <c r="A360" s="8"/>
      <c r="B360" s="8"/>
      <c r="C360" s="8"/>
      <c r="D360" s="8"/>
      <c r="E360" s="8"/>
      <c r="F360" s="8"/>
    </row>
    <row r="361" ht="37.5" customHeight="1">
      <c r="A361" s="8"/>
      <c r="B361" s="8"/>
      <c r="C361" s="8"/>
      <c r="D361" s="8"/>
      <c r="E361" s="8"/>
      <c r="F361" s="8"/>
    </row>
    <row r="362" ht="37.5" customHeight="1">
      <c r="A362" s="8"/>
      <c r="B362" s="8"/>
      <c r="C362" s="8"/>
      <c r="D362" s="8"/>
      <c r="E362" s="8"/>
      <c r="F362" s="8"/>
    </row>
    <row r="363" ht="37.5" customHeight="1">
      <c r="A363" s="8"/>
      <c r="B363" s="8"/>
      <c r="C363" s="8"/>
      <c r="D363" s="8"/>
      <c r="E363" s="8"/>
      <c r="F363" s="8"/>
    </row>
    <row r="364" ht="37.5" customHeight="1">
      <c r="A364" s="8"/>
      <c r="B364" s="8"/>
      <c r="C364" s="8"/>
      <c r="D364" s="8"/>
      <c r="E364" s="8"/>
      <c r="F364" s="8"/>
    </row>
    <row r="365" ht="37.5" customHeight="1">
      <c r="A365" s="8"/>
      <c r="B365" s="8"/>
      <c r="C365" s="8"/>
      <c r="D365" s="8"/>
      <c r="E365" s="8"/>
      <c r="F365" s="8"/>
    </row>
    <row r="366" ht="37.5" customHeight="1">
      <c r="A366" s="8"/>
      <c r="B366" s="8"/>
      <c r="C366" s="8"/>
      <c r="D366" s="8"/>
      <c r="E366" s="8"/>
      <c r="F366" s="8"/>
    </row>
    <row r="367" ht="37.5" customHeight="1">
      <c r="A367" s="8"/>
      <c r="B367" s="8"/>
      <c r="C367" s="8"/>
      <c r="D367" s="8"/>
      <c r="E367" s="8"/>
      <c r="F367" s="8"/>
    </row>
    <row r="368" ht="37.5" customHeight="1">
      <c r="A368" s="8"/>
      <c r="B368" s="8"/>
      <c r="C368" s="8"/>
      <c r="D368" s="8"/>
      <c r="E368" s="8"/>
      <c r="F368" s="8"/>
    </row>
    <row r="369" ht="37.5" customHeight="1">
      <c r="A369" s="8"/>
      <c r="B369" s="8"/>
      <c r="C369" s="8"/>
      <c r="D369" s="8"/>
      <c r="E369" s="8"/>
      <c r="F369" s="8"/>
    </row>
    <row r="370" ht="37.5" customHeight="1">
      <c r="A370" s="8"/>
      <c r="B370" s="8"/>
      <c r="C370" s="8"/>
      <c r="D370" s="8"/>
      <c r="E370" s="8"/>
      <c r="F370" s="8"/>
    </row>
    <row r="371" ht="37.5" customHeight="1">
      <c r="A371" s="8"/>
      <c r="B371" s="8"/>
      <c r="C371" s="8"/>
      <c r="D371" s="8"/>
      <c r="E371" s="8"/>
      <c r="F371" s="8"/>
    </row>
    <row r="372" ht="37.5" customHeight="1">
      <c r="A372" s="8"/>
      <c r="B372" s="8"/>
      <c r="C372" s="8"/>
      <c r="D372" s="8"/>
      <c r="E372" s="8"/>
      <c r="F372" s="8"/>
    </row>
    <row r="373" ht="37.5" customHeight="1">
      <c r="A373" s="8"/>
      <c r="B373" s="8"/>
      <c r="C373" s="8"/>
      <c r="D373" s="8"/>
      <c r="E373" s="8"/>
      <c r="F373" s="8"/>
    </row>
    <row r="374" ht="37.5" customHeight="1">
      <c r="A374" s="8"/>
      <c r="B374" s="8"/>
      <c r="C374" s="8"/>
      <c r="D374" s="8"/>
      <c r="E374" s="8"/>
      <c r="F374" s="8"/>
    </row>
    <row r="375" ht="37.5" customHeight="1">
      <c r="A375" s="8"/>
      <c r="B375" s="8"/>
      <c r="C375" s="8"/>
      <c r="D375" s="8"/>
      <c r="E375" s="8"/>
      <c r="F375" s="8"/>
    </row>
    <row r="376" ht="37.5" customHeight="1">
      <c r="A376" s="8"/>
      <c r="B376" s="8"/>
      <c r="C376" s="8"/>
      <c r="D376" s="8"/>
      <c r="E376" s="8"/>
      <c r="F376" s="8"/>
    </row>
    <row r="377" ht="37.5" customHeight="1">
      <c r="A377" s="8"/>
      <c r="B377" s="8"/>
      <c r="C377" s="8"/>
      <c r="D377" s="8"/>
      <c r="E377" s="8"/>
      <c r="F377" s="8"/>
    </row>
    <row r="378" ht="37.5" customHeight="1">
      <c r="A378" s="8"/>
      <c r="B378" s="8"/>
      <c r="C378" s="8"/>
      <c r="D378" s="8"/>
      <c r="E378" s="8"/>
      <c r="F378" s="8"/>
    </row>
    <row r="379" ht="37.5" customHeight="1">
      <c r="A379" s="8"/>
      <c r="B379" s="8"/>
      <c r="C379" s="8"/>
      <c r="D379" s="8"/>
      <c r="E379" s="8"/>
      <c r="F379" s="8"/>
    </row>
    <row r="380" ht="37.5" customHeight="1">
      <c r="A380" s="8"/>
      <c r="B380" s="8"/>
      <c r="C380" s="8"/>
      <c r="D380" s="8"/>
      <c r="E380" s="8"/>
      <c r="F380" s="8"/>
    </row>
    <row r="381" ht="37.5" customHeight="1">
      <c r="A381" s="8"/>
      <c r="B381" s="8"/>
      <c r="C381" s="8"/>
      <c r="D381" s="8"/>
      <c r="E381" s="8"/>
      <c r="F381" s="8"/>
    </row>
    <row r="382" ht="37.5" customHeight="1">
      <c r="A382" s="8"/>
      <c r="B382" s="8"/>
      <c r="C382" s="8"/>
      <c r="D382" s="8"/>
      <c r="E382" s="8"/>
      <c r="F382" s="8"/>
    </row>
    <row r="383" ht="37.5" customHeight="1">
      <c r="A383" s="8"/>
      <c r="B383" s="8"/>
      <c r="C383" s="8"/>
      <c r="D383" s="8"/>
      <c r="E383" s="8"/>
      <c r="F383" s="8"/>
    </row>
    <row r="384" ht="37.5" customHeight="1">
      <c r="A384" s="8"/>
      <c r="B384" s="8"/>
      <c r="C384" s="8"/>
      <c r="D384" s="8"/>
      <c r="E384" s="8"/>
      <c r="F384" s="8"/>
    </row>
    <row r="385" ht="37.5" customHeight="1">
      <c r="A385" s="8"/>
      <c r="B385" s="8"/>
      <c r="C385" s="8"/>
      <c r="D385" s="8"/>
      <c r="E385" s="8"/>
      <c r="F385" s="8"/>
    </row>
    <row r="386" ht="37.5" customHeight="1">
      <c r="A386" s="8"/>
      <c r="B386" s="8"/>
      <c r="C386" s="8"/>
      <c r="D386" s="8"/>
      <c r="E386" s="8"/>
      <c r="F386" s="8"/>
    </row>
    <row r="387" ht="37.5" customHeight="1">
      <c r="A387" s="8"/>
      <c r="B387" s="8"/>
      <c r="C387" s="8"/>
      <c r="D387" s="8"/>
      <c r="E387" s="8"/>
      <c r="F387" s="8"/>
    </row>
    <row r="388" ht="37.5" customHeight="1">
      <c r="A388" s="8"/>
      <c r="B388" s="8"/>
      <c r="C388" s="8"/>
      <c r="D388" s="8"/>
      <c r="E388" s="8"/>
      <c r="F388" s="8"/>
    </row>
    <row r="389" ht="37.5" customHeight="1">
      <c r="A389" s="8"/>
      <c r="B389" s="8"/>
      <c r="C389" s="8"/>
      <c r="D389" s="8"/>
      <c r="E389" s="8"/>
      <c r="F389" s="8"/>
    </row>
    <row r="390" ht="37.5" customHeight="1">
      <c r="A390" s="8"/>
      <c r="B390" s="8"/>
      <c r="C390" s="8"/>
      <c r="D390" s="8"/>
      <c r="E390" s="8"/>
      <c r="F390" s="8"/>
    </row>
    <row r="391" ht="37.5" customHeight="1">
      <c r="A391" s="8"/>
      <c r="B391" s="8"/>
      <c r="C391" s="8"/>
      <c r="D391" s="8"/>
      <c r="E391" s="8"/>
      <c r="F391" s="8"/>
    </row>
    <row r="392" ht="37.5" customHeight="1">
      <c r="A392" s="8"/>
      <c r="B392" s="8"/>
      <c r="C392" s="8"/>
      <c r="D392" s="8"/>
      <c r="E392" s="8"/>
      <c r="F392" s="8"/>
    </row>
    <row r="393" ht="37.5" customHeight="1">
      <c r="A393" s="8"/>
      <c r="B393" s="8"/>
      <c r="C393" s="8"/>
      <c r="D393" s="8"/>
      <c r="E393" s="8"/>
      <c r="F393" s="8"/>
    </row>
    <row r="394" ht="37.5" customHeight="1">
      <c r="A394" s="8"/>
      <c r="B394" s="8"/>
      <c r="C394" s="8"/>
      <c r="D394" s="8"/>
      <c r="E394" s="8"/>
      <c r="F394" s="8"/>
    </row>
    <row r="395" ht="37.5" customHeight="1">
      <c r="A395" s="8"/>
      <c r="B395" s="8"/>
      <c r="C395" s="8"/>
      <c r="D395" s="8"/>
      <c r="E395" s="8"/>
      <c r="F395" s="8"/>
    </row>
    <row r="396" ht="37.5" customHeight="1">
      <c r="A396" s="8"/>
      <c r="B396" s="8"/>
      <c r="C396" s="8"/>
      <c r="D396" s="8"/>
      <c r="E396" s="8"/>
      <c r="F396" s="8"/>
    </row>
    <row r="397" ht="37.5" customHeight="1">
      <c r="A397" s="8"/>
      <c r="B397" s="8"/>
      <c r="C397" s="8"/>
      <c r="D397" s="8"/>
      <c r="E397" s="8"/>
      <c r="F397" s="8"/>
    </row>
    <row r="398" ht="37.5" customHeight="1">
      <c r="A398" s="8"/>
      <c r="B398" s="8"/>
      <c r="C398" s="8"/>
      <c r="D398" s="8"/>
      <c r="E398" s="8"/>
      <c r="F398" s="8"/>
    </row>
    <row r="399" ht="37.5" customHeight="1">
      <c r="A399" s="8"/>
      <c r="B399" s="8"/>
      <c r="C399" s="8"/>
      <c r="D399" s="8"/>
      <c r="E399" s="8"/>
      <c r="F399" s="8"/>
    </row>
    <row r="400" ht="37.5" customHeight="1">
      <c r="A400" s="8"/>
      <c r="B400" s="8"/>
      <c r="C400" s="8"/>
      <c r="D400" s="8"/>
      <c r="E400" s="8"/>
      <c r="F400" s="8"/>
    </row>
    <row r="401" ht="37.5" customHeight="1">
      <c r="A401" s="8"/>
      <c r="B401" s="8"/>
      <c r="C401" s="8"/>
      <c r="D401" s="8"/>
      <c r="E401" s="8"/>
      <c r="F401" s="8"/>
    </row>
    <row r="402" ht="37.5" customHeight="1">
      <c r="A402" s="8"/>
      <c r="B402" s="8"/>
      <c r="C402" s="8"/>
      <c r="D402" s="8"/>
      <c r="E402" s="8"/>
      <c r="F402" s="8"/>
    </row>
    <row r="403" ht="37.5" customHeight="1">
      <c r="A403" s="8"/>
      <c r="B403" s="8"/>
      <c r="C403" s="8"/>
      <c r="D403" s="8"/>
      <c r="E403" s="8"/>
      <c r="F403" s="8"/>
    </row>
    <row r="404" ht="37.5" customHeight="1">
      <c r="A404" s="8"/>
      <c r="B404" s="8"/>
      <c r="C404" s="8"/>
      <c r="D404" s="8"/>
      <c r="E404" s="8"/>
      <c r="F404" s="8"/>
    </row>
    <row r="405" ht="37.5" customHeight="1">
      <c r="A405" s="8"/>
      <c r="B405" s="8"/>
      <c r="C405" s="8"/>
      <c r="D405" s="8"/>
      <c r="E405" s="8"/>
      <c r="F405" s="8"/>
    </row>
    <row r="406" ht="37.5" customHeight="1">
      <c r="A406" s="8"/>
      <c r="B406" s="8"/>
      <c r="C406" s="8"/>
      <c r="D406" s="8"/>
      <c r="E406" s="8"/>
      <c r="F406" s="8"/>
    </row>
    <row r="407" ht="37.5" customHeight="1">
      <c r="A407" s="8"/>
      <c r="B407" s="8"/>
      <c r="C407" s="8"/>
      <c r="D407" s="8"/>
      <c r="E407" s="8"/>
      <c r="F407" s="8"/>
    </row>
    <row r="408" ht="37.5" customHeight="1">
      <c r="A408" s="8"/>
      <c r="B408" s="8"/>
      <c r="C408" s="8"/>
      <c r="D408" s="8"/>
      <c r="E408" s="8"/>
      <c r="F408" s="8"/>
    </row>
    <row r="409" ht="37.5" customHeight="1">
      <c r="A409" s="8"/>
      <c r="B409" s="8"/>
      <c r="C409" s="8"/>
      <c r="D409" s="8"/>
      <c r="E409" s="8"/>
      <c r="F409" s="8"/>
    </row>
    <row r="410" ht="37.5" customHeight="1">
      <c r="A410" s="8"/>
      <c r="B410" s="8"/>
      <c r="C410" s="8"/>
      <c r="D410" s="8"/>
      <c r="E410" s="8"/>
      <c r="F410" s="8"/>
    </row>
    <row r="411" ht="37.5" customHeight="1">
      <c r="A411" s="8"/>
      <c r="B411" s="8"/>
      <c r="C411" s="8"/>
      <c r="D411" s="8"/>
      <c r="E411" s="8"/>
      <c r="F411" s="8"/>
    </row>
    <row r="412" ht="37.5" customHeight="1">
      <c r="A412" s="8"/>
      <c r="B412" s="8"/>
      <c r="C412" s="8"/>
      <c r="D412" s="8"/>
      <c r="E412" s="8"/>
      <c r="F412" s="8"/>
    </row>
    <row r="413" ht="37.5" customHeight="1">
      <c r="A413" s="8"/>
      <c r="B413" s="8"/>
      <c r="C413" s="8"/>
      <c r="D413" s="8"/>
      <c r="E413" s="8"/>
      <c r="F413" s="8"/>
    </row>
    <row r="414" ht="37.5" customHeight="1">
      <c r="A414" s="8"/>
      <c r="B414" s="8"/>
      <c r="C414" s="8"/>
      <c r="D414" s="8"/>
      <c r="E414" s="8"/>
      <c r="F414" s="8"/>
    </row>
    <row r="415" ht="37.5" customHeight="1">
      <c r="A415" s="8"/>
      <c r="B415" s="8"/>
      <c r="C415" s="8"/>
      <c r="D415" s="8"/>
      <c r="E415" s="8"/>
      <c r="F415" s="8"/>
    </row>
    <row r="416" ht="37.5" customHeight="1">
      <c r="A416" s="8"/>
      <c r="B416" s="8"/>
      <c r="C416" s="8"/>
      <c r="D416" s="8"/>
      <c r="E416" s="8"/>
      <c r="F416" s="8"/>
    </row>
    <row r="417" ht="37.5" customHeight="1">
      <c r="A417" s="8"/>
      <c r="B417" s="8"/>
      <c r="C417" s="8"/>
      <c r="D417" s="8"/>
      <c r="E417" s="8"/>
      <c r="F417" s="8"/>
    </row>
    <row r="418" ht="37.5" customHeight="1">
      <c r="A418" s="8"/>
      <c r="B418" s="8"/>
      <c r="C418" s="8"/>
      <c r="D418" s="8"/>
      <c r="E418" s="8"/>
      <c r="F418" s="8"/>
    </row>
    <row r="419" ht="37.5" customHeight="1">
      <c r="A419" s="8"/>
      <c r="B419" s="8"/>
      <c r="C419" s="8"/>
      <c r="D419" s="8"/>
      <c r="E419" s="8"/>
      <c r="F419" s="8"/>
    </row>
    <row r="420" ht="37.5" customHeight="1">
      <c r="A420" s="8"/>
      <c r="B420" s="8"/>
      <c r="C420" s="8"/>
      <c r="D420" s="8"/>
      <c r="E420" s="8"/>
      <c r="F420" s="8"/>
    </row>
    <row r="421" ht="37.5" customHeight="1">
      <c r="A421" s="8"/>
      <c r="B421" s="8"/>
      <c r="C421" s="8"/>
      <c r="D421" s="8"/>
      <c r="E421" s="8"/>
      <c r="F421" s="8"/>
    </row>
    <row r="422" ht="37.5" customHeight="1">
      <c r="A422" s="8"/>
      <c r="B422" s="8"/>
      <c r="C422" s="8"/>
      <c r="D422" s="8"/>
      <c r="E422" s="8"/>
      <c r="F422" s="8"/>
    </row>
    <row r="423" ht="37.5" customHeight="1">
      <c r="A423" s="8"/>
      <c r="B423" s="8"/>
      <c r="C423" s="8"/>
      <c r="D423" s="8"/>
      <c r="E423" s="8"/>
      <c r="F423" s="8"/>
    </row>
    <row r="424" ht="37.5" customHeight="1">
      <c r="A424" s="8"/>
      <c r="B424" s="8"/>
      <c r="C424" s="8"/>
      <c r="D424" s="8"/>
      <c r="E424" s="8"/>
      <c r="F424" s="8"/>
    </row>
    <row r="425" ht="37.5" customHeight="1">
      <c r="A425" s="8"/>
      <c r="B425" s="8"/>
      <c r="C425" s="8"/>
      <c r="D425" s="8"/>
      <c r="E425" s="8"/>
      <c r="F425" s="8"/>
    </row>
    <row r="426" ht="37.5" customHeight="1">
      <c r="A426" s="8"/>
      <c r="B426" s="8"/>
      <c r="C426" s="8"/>
      <c r="D426" s="8"/>
      <c r="E426" s="8"/>
      <c r="F426" s="8"/>
    </row>
    <row r="427" ht="37.5" customHeight="1">
      <c r="A427" s="8"/>
      <c r="B427" s="8"/>
      <c r="C427" s="8"/>
      <c r="D427" s="8"/>
      <c r="E427" s="8"/>
      <c r="F427" s="8"/>
    </row>
    <row r="428" ht="37.5" customHeight="1">
      <c r="A428" s="8"/>
      <c r="B428" s="8"/>
      <c r="C428" s="8"/>
      <c r="D428" s="8"/>
      <c r="E428" s="8"/>
      <c r="F428" s="8"/>
    </row>
    <row r="429" ht="37.5" customHeight="1">
      <c r="A429" s="8"/>
      <c r="B429" s="8"/>
      <c r="C429" s="8"/>
      <c r="D429" s="8"/>
      <c r="E429" s="8"/>
      <c r="F429" s="8"/>
    </row>
    <row r="430" ht="37.5" customHeight="1">
      <c r="A430" s="8"/>
      <c r="B430" s="8"/>
      <c r="C430" s="8"/>
      <c r="D430" s="8"/>
      <c r="E430" s="8"/>
      <c r="F430" s="8"/>
    </row>
    <row r="431" ht="37.5" customHeight="1">
      <c r="A431" s="8"/>
      <c r="B431" s="8"/>
      <c r="C431" s="8"/>
      <c r="D431" s="8"/>
      <c r="E431" s="8"/>
      <c r="F431" s="8"/>
    </row>
    <row r="432" ht="37.5" customHeight="1">
      <c r="A432" s="8"/>
      <c r="B432" s="8"/>
      <c r="C432" s="8"/>
      <c r="D432" s="8"/>
      <c r="E432" s="8"/>
      <c r="F432" s="8"/>
    </row>
    <row r="433" ht="37.5" customHeight="1">
      <c r="A433" s="8"/>
      <c r="B433" s="8"/>
      <c r="C433" s="8"/>
      <c r="D433" s="8"/>
      <c r="E433" s="8"/>
      <c r="F433" s="8"/>
    </row>
    <row r="434" ht="37.5" customHeight="1">
      <c r="A434" s="8"/>
      <c r="B434" s="8"/>
      <c r="C434" s="8"/>
      <c r="D434" s="8"/>
      <c r="E434" s="8"/>
      <c r="F434" s="8"/>
    </row>
    <row r="435" ht="37.5" customHeight="1">
      <c r="A435" s="8"/>
      <c r="B435" s="8"/>
      <c r="C435" s="8"/>
      <c r="D435" s="8"/>
      <c r="E435" s="8"/>
      <c r="F435" s="8"/>
    </row>
    <row r="436" ht="37.5" customHeight="1">
      <c r="A436" s="8"/>
      <c r="B436" s="8"/>
      <c r="C436" s="8"/>
      <c r="D436" s="8"/>
      <c r="E436" s="8"/>
      <c r="F436" s="8"/>
    </row>
    <row r="437" ht="37.5" customHeight="1">
      <c r="A437" s="8"/>
      <c r="B437" s="8"/>
      <c r="C437" s="8"/>
      <c r="D437" s="8"/>
      <c r="E437" s="8"/>
      <c r="F437" s="8"/>
    </row>
    <row r="438" ht="37.5" customHeight="1">
      <c r="A438" s="8"/>
      <c r="B438" s="8"/>
      <c r="C438" s="8"/>
      <c r="D438" s="8"/>
      <c r="E438" s="8"/>
      <c r="F438" s="8"/>
    </row>
    <row r="439" ht="37.5" customHeight="1">
      <c r="A439" s="8"/>
      <c r="B439" s="8"/>
      <c r="C439" s="8"/>
      <c r="D439" s="8"/>
      <c r="E439" s="8"/>
      <c r="F439" s="8"/>
    </row>
    <row r="440" ht="37.5" customHeight="1">
      <c r="A440" s="8"/>
      <c r="B440" s="8"/>
      <c r="C440" s="8"/>
      <c r="D440" s="8"/>
      <c r="E440" s="8"/>
      <c r="F440" s="8"/>
    </row>
    <row r="441" ht="37.5" customHeight="1">
      <c r="A441" s="8"/>
      <c r="B441" s="8"/>
      <c r="C441" s="8"/>
      <c r="D441" s="8"/>
      <c r="E441" s="8"/>
      <c r="F441" s="8"/>
    </row>
    <row r="442" ht="37.5" customHeight="1">
      <c r="A442" s="8"/>
      <c r="B442" s="8"/>
      <c r="C442" s="8"/>
      <c r="D442" s="8"/>
      <c r="E442" s="8"/>
      <c r="F442" s="8"/>
    </row>
    <row r="443" ht="37.5" customHeight="1">
      <c r="A443" s="8"/>
      <c r="B443" s="8"/>
      <c r="C443" s="8"/>
      <c r="D443" s="8"/>
      <c r="E443" s="8"/>
      <c r="F443" s="8"/>
    </row>
    <row r="444" ht="37.5" customHeight="1">
      <c r="A444" s="8"/>
      <c r="B444" s="8"/>
      <c r="C444" s="8"/>
      <c r="D444" s="8"/>
      <c r="E444" s="8"/>
      <c r="F444" s="8"/>
    </row>
    <row r="445" ht="37.5" customHeight="1">
      <c r="A445" s="8"/>
      <c r="B445" s="8"/>
      <c r="C445" s="8"/>
      <c r="D445" s="8"/>
      <c r="E445" s="8"/>
      <c r="F445" s="8"/>
    </row>
    <row r="446" ht="37.5" customHeight="1">
      <c r="A446" s="8"/>
      <c r="B446" s="8"/>
      <c r="C446" s="8"/>
      <c r="D446" s="8"/>
      <c r="E446" s="8"/>
      <c r="F446" s="8"/>
    </row>
    <row r="447" ht="37.5" customHeight="1">
      <c r="A447" s="8"/>
      <c r="B447" s="8"/>
      <c r="C447" s="8"/>
      <c r="D447" s="8"/>
      <c r="E447" s="8"/>
      <c r="F447" s="8"/>
    </row>
    <row r="448" ht="37.5" customHeight="1">
      <c r="A448" s="8"/>
      <c r="B448" s="8"/>
      <c r="C448" s="8"/>
      <c r="D448" s="8"/>
      <c r="E448" s="8"/>
      <c r="F448" s="8"/>
    </row>
    <row r="449" ht="37.5" customHeight="1">
      <c r="A449" s="8"/>
      <c r="B449" s="8"/>
      <c r="C449" s="8"/>
      <c r="D449" s="8"/>
      <c r="E449" s="8"/>
      <c r="F449" s="8"/>
    </row>
    <row r="450" ht="37.5" customHeight="1">
      <c r="A450" s="8"/>
      <c r="B450" s="8"/>
      <c r="C450" s="8"/>
      <c r="D450" s="8"/>
      <c r="E450" s="8"/>
      <c r="F450" s="8"/>
    </row>
    <row r="451" ht="37.5" customHeight="1">
      <c r="A451" s="8"/>
      <c r="B451" s="8"/>
      <c r="C451" s="8"/>
      <c r="D451" s="8"/>
      <c r="E451" s="8"/>
      <c r="F451" s="8"/>
    </row>
    <row r="452" ht="37.5" customHeight="1">
      <c r="A452" s="8"/>
      <c r="B452" s="8"/>
      <c r="C452" s="8"/>
      <c r="D452" s="8"/>
      <c r="E452" s="8"/>
      <c r="F452" s="8"/>
    </row>
    <row r="453" ht="37.5" customHeight="1">
      <c r="A453" s="8"/>
      <c r="B453" s="8"/>
      <c r="C453" s="8"/>
      <c r="D453" s="8"/>
      <c r="E453" s="8"/>
      <c r="F453" s="8"/>
    </row>
    <row r="454" ht="37.5" customHeight="1">
      <c r="A454" s="8"/>
      <c r="B454" s="8"/>
      <c r="C454" s="8"/>
      <c r="D454" s="8"/>
      <c r="E454" s="8"/>
      <c r="F454" s="8"/>
    </row>
    <row r="455" ht="37.5" customHeight="1">
      <c r="A455" s="8"/>
      <c r="B455" s="8"/>
      <c r="C455" s="8"/>
      <c r="D455" s="8"/>
      <c r="E455" s="8"/>
      <c r="F455" s="8"/>
    </row>
    <row r="456" ht="37.5" customHeight="1">
      <c r="A456" s="8"/>
      <c r="B456" s="8"/>
      <c r="C456" s="8"/>
      <c r="D456" s="8"/>
      <c r="E456" s="8"/>
      <c r="F456" s="8"/>
    </row>
    <row r="457" ht="37.5" customHeight="1">
      <c r="A457" s="8"/>
      <c r="B457" s="8"/>
      <c r="C457" s="8"/>
      <c r="D457" s="8"/>
      <c r="E457" s="8"/>
      <c r="F457" s="8"/>
    </row>
    <row r="458" ht="37.5" customHeight="1">
      <c r="A458" s="8"/>
      <c r="B458" s="8"/>
      <c r="C458" s="8"/>
      <c r="D458" s="8"/>
      <c r="E458" s="8"/>
      <c r="F458" s="8"/>
    </row>
    <row r="459" ht="37.5" customHeight="1">
      <c r="A459" s="8"/>
      <c r="B459" s="8"/>
      <c r="C459" s="8"/>
      <c r="D459" s="8"/>
      <c r="E459" s="8"/>
      <c r="F459" s="8"/>
    </row>
    <row r="460" ht="37.5" customHeight="1">
      <c r="A460" s="8"/>
      <c r="B460" s="8"/>
      <c r="C460" s="8"/>
      <c r="D460" s="8"/>
      <c r="E460" s="8"/>
      <c r="F460" s="8"/>
    </row>
    <row r="461" ht="37.5" customHeight="1">
      <c r="A461" s="8"/>
      <c r="B461" s="8"/>
      <c r="C461" s="8"/>
      <c r="D461" s="8"/>
      <c r="E461" s="8"/>
      <c r="F461" s="8"/>
    </row>
    <row r="462" ht="37.5" customHeight="1">
      <c r="A462" s="8"/>
      <c r="B462" s="8"/>
      <c r="C462" s="8"/>
      <c r="D462" s="8"/>
      <c r="E462" s="8"/>
      <c r="F462" s="8"/>
    </row>
    <row r="463" ht="37.5" customHeight="1">
      <c r="A463" s="8"/>
      <c r="B463" s="8"/>
      <c r="C463" s="8"/>
      <c r="D463" s="8"/>
      <c r="E463" s="8"/>
      <c r="F463" s="8"/>
    </row>
    <row r="464" ht="37.5" customHeight="1">
      <c r="A464" s="8"/>
      <c r="B464" s="8"/>
      <c r="C464" s="8"/>
      <c r="D464" s="8"/>
      <c r="E464" s="8"/>
      <c r="F464" s="8"/>
    </row>
    <row r="465" ht="37.5" customHeight="1">
      <c r="A465" s="8"/>
      <c r="B465" s="8"/>
      <c r="C465" s="8"/>
      <c r="D465" s="8"/>
      <c r="E465" s="8"/>
      <c r="F465" s="8"/>
    </row>
    <row r="466" ht="37.5" customHeight="1">
      <c r="A466" s="8"/>
      <c r="B466" s="8"/>
      <c r="C466" s="8"/>
      <c r="D466" s="8"/>
      <c r="E466" s="8"/>
      <c r="F466" s="8"/>
    </row>
    <row r="467" ht="37.5" customHeight="1">
      <c r="A467" s="8"/>
      <c r="B467" s="8"/>
      <c r="C467" s="8"/>
      <c r="D467" s="8"/>
      <c r="E467" s="8"/>
      <c r="F467" s="8"/>
    </row>
    <row r="468" ht="37.5" customHeight="1">
      <c r="A468" s="8"/>
      <c r="B468" s="8"/>
      <c r="C468" s="8"/>
      <c r="D468" s="8"/>
      <c r="E468" s="8"/>
      <c r="F468" s="8"/>
    </row>
    <row r="469" ht="37.5" customHeight="1">
      <c r="A469" s="8"/>
      <c r="B469" s="8"/>
      <c r="C469" s="8"/>
      <c r="D469" s="8"/>
      <c r="E469" s="8"/>
      <c r="F469" s="8"/>
    </row>
    <row r="470" ht="37.5" customHeight="1">
      <c r="A470" s="8"/>
      <c r="B470" s="8"/>
      <c r="C470" s="8"/>
      <c r="D470" s="8"/>
      <c r="E470" s="8"/>
      <c r="F470" s="8"/>
    </row>
    <row r="471" ht="37.5" customHeight="1">
      <c r="A471" s="8"/>
      <c r="B471" s="8"/>
      <c r="C471" s="8"/>
      <c r="D471" s="8"/>
      <c r="E471" s="8"/>
      <c r="F471" s="8"/>
    </row>
    <row r="472" ht="37.5" customHeight="1">
      <c r="A472" s="8"/>
      <c r="B472" s="8"/>
      <c r="C472" s="8"/>
      <c r="D472" s="8"/>
      <c r="E472" s="8"/>
      <c r="F472" s="8"/>
    </row>
    <row r="473" ht="37.5" customHeight="1">
      <c r="A473" s="8"/>
      <c r="B473" s="8"/>
      <c r="C473" s="8"/>
      <c r="D473" s="8"/>
      <c r="E473" s="8"/>
      <c r="F473" s="8"/>
    </row>
    <row r="474" ht="37.5" customHeight="1">
      <c r="A474" s="8"/>
      <c r="B474" s="8"/>
      <c r="C474" s="8"/>
      <c r="D474" s="8"/>
      <c r="E474" s="8"/>
      <c r="F474" s="8"/>
    </row>
    <row r="475" ht="37.5" customHeight="1">
      <c r="A475" s="8"/>
      <c r="B475" s="8"/>
      <c r="C475" s="8"/>
      <c r="D475" s="8"/>
      <c r="E475" s="8"/>
      <c r="F475" s="8"/>
    </row>
    <row r="476" ht="37.5" customHeight="1">
      <c r="A476" s="8"/>
      <c r="B476" s="8"/>
      <c r="C476" s="8"/>
      <c r="D476" s="8"/>
      <c r="E476" s="8"/>
      <c r="F476" s="8"/>
    </row>
    <row r="477" ht="37.5" customHeight="1">
      <c r="A477" s="8"/>
      <c r="B477" s="8"/>
      <c r="C477" s="8"/>
      <c r="D477" s="8"/>
      <c r="E477" s="8"/>
      <c r="F477" s="8"/>
    </row>
    <row r="478" ht="37.5" customHeight="1">
      <c r="A478" s="8"/>
      <c r="B478" s="8"/>
      <c r="C478" s="8"/>
      <c r="D478" s="8"/>
      <c r="E478" s="8"/>
      <c r="F478" s="8"/>
    </row>
    <row r="479" ht="37.5" customHeight="1">
      <c r="A479" s="8"/>
      <c r="B479" s="8"/>
      <c r="C479" s="8"/>
      <c r="D479" s="8"/>
      <c r="E479" s="8"/>
      <c r="F479" s="8"/>
    </row>
    <row r="480" ht="37.5" customHeight="1">
      <c r="A480" s="8"/>
      <c r="B480" s="8"/>
      <c r="C480" s="8"/>
      <c r="D480" s="8"/>
      <c r="E480" s="8"/>
      <c r="F480" s="8"/>
    </row>
    <row r="481" ht="37.5" customHeight="1">
      <c r="A481" s="8"/>
      <c r="B481" s="8"/>
      <c r="C481" s="8"/>
      <c r="D481" s="8"/>
      <c r="E481" s="8"/>
      <c r="F481" s="8"/>
    </row>
    <row r="482" ht="37.5" customHeight="1">
      <c r="A482" s="8"/>
      <c r="B482" s="8"/>
      <c r="C482" s="8"/>
      <c r="D482" s="8"/>
      <c r="E482" s="8"/>
      <c r="F482" s="8"/>
    </row>
    <row r="483" ht="37.5" customHeight="1">
      <c r="A483" s="8"/>
      <c r="B483" s="8"/>
      <c r="C483" s="8"/>
      <c r="D483" s="8"/>
      <c r="E483" s="8"/>
      <c r="F483" s="8"/>
    </row>
    <row r="484" ht="37.5" customHeight="1">
      <c r="A484" s="8"/>
      <c r="B484" s="8"/>
      <c r="C484" s="8"/>
      <c r="D484" s="8"/>
      <c r="E484" s="8"/>
      <c r="F484" s="8"/>
    </row>
    <row r="485" ht="37.5" customHeight="1">
      <c r="A485" s="8"/>
      <c r="B485" s="8"/>
      <c r="C485" s="8"/>
      <c r="D485" s="8"/>
      <c r="E485" s="8"/>
      <c r="F485" s="8"/>
    </row>
    <row r="486" ht="37.5" customHeight="1">
      <c r="A486" s="8"/>
      <c r="B486" s="8"/>
      <c r="C486" s="8"/>
      <c r="D486" s="8"/>
      <c r="E486" s="8"/>
      <c r="F486" s="8"/>
    </row>
    <row r="487" ht="37.5" customHeight="1">
      <c r="A487" s="8"/>
      <c r="B487" s="8"/>
      <c r="C487" s="8"/>
      <c r="D487" s="8"/>
      <c r="E487" s="8"/>
      <c r="F487" s="8"/>
    </row>
    <row r="488" ht="37.5" customHeight="1">
      <c r="A488" s="8"/>
      <c r="B488" s="8"/>
      <c r="C488" s="8"/>
      <c r="D488" s="8"/>
      <c r="E488" s="8"/>
      <c r="F488" s="8"/>
    </row>
    <row r="489" ht="37.5" customHeight="1">
      <c r="A489" s="8"/>
      <c r="B489" s="8"/>
      <c r="C489" s="8"/>
      <c r="D489" s="8"/>
      <c r="E489" s="8"/>
      <c r="F489" s="8"/>
    </row>
    <row r="490" ht="37.5" customHeight="1">
      <c r="A490" s="8"/>
      <c r="B490" s="8"/>
      <c r="C490" s="8"/>
      <c r="D490" s="8"/>
      <c r="E490" s="8"/>
      <c r="F490" s="8"/>
    </row>
    <row r="491" ht="37.5" customHeight="1">
      <c r="A491" s="8"/>
      <c r="B491" s="8"/>
      <c r="C491" s="8"/>
      <c r="D491" s="8"/>
      <c r="E491" s="8"/>
      <c r="F491" s="8"/>
    </row>
    <row r="492" ht="37.5" customHeight="1">
      <c r="A492" s="8"/>
      <c r="B492" s="8"/>
      <c r="C492" s="8"/>
      <c r="D492" s="8"/>
      <c r="E492" s="8"/>
      <c r="F492" s="8"/>
    </row>
    <row r="493" ht="37.5" customHeight="1">
      <c r="A493" s="8"/>
      <c r="B493" s="8"/>
      <c r="C493" s="8"/>
      <c r="D493" s="8"/>
      <c r="E493" s="8"/>
      <c r="F493" s="8"/>
    </row>
    <row r="494" ht="37.5" customHeight="1">
      <c r="A494" s="8"/>
      <c r="B494" s="8"/>
      <c r="C494" s="8"/>
      <c r="D494" s="8"/>
      <c r="E494" s="8"/>
      <c r="F494" s="8"/>
    </row>
    <row r="495" ht="37.5" customHeight="1">
      <c r="A495" s="8"/>
      <c r="B495" s="8"/>
      <c r="C495" s="8"/>
      <c r="D495" s="8"/>
      <c r="E495" s="8"/>
      <c r="F495" s="8"/>
    </row>
    <row r="496" ht="37.5" customHeight="1">
      <c r="A496" s="8"/>
      <c r="B496" s="8"/>
      <c r="C496" s="8"/>
      <c r="D496" s="8"/>
      <c r="E496" s="8"/>
      <c r="F496" s="8"/>
    </row>
    <row r="497" ht="37.5" customHeight="1">
      <c r="A497" s="8"/>
      <c r="B497" s="8"/>
      <c r="C497" s="8"/>
      <c r="D497" s="8"/>
      <c r="E497" s="8"/>
      <c r="F497" s="8"/>
    </row>
    <row r="498" ht="37.5" customHeight="1">
      <c r="A498" s="8"/>
      <c r="B498" s="8"/>
      <c r="C498" s="8"/>
      <c r="D498" s="8"/>
      <c r="E498" s="8"/>
      <c r="F498" s="8"/>
    </row>
    <row r="499" ht="37.5" customHeight="1">
      <c r="A499" s="8"/>
      <c r="B499" s="8"/>
      <c r="C499" s="8"/>
      <c r="D499" s="8"/>
      <c r="E499" s="8"/>
      <c r="F499" s="8"/>
    </row>
    <row r="500" ht="37.5" customHeight="1">
      <c r="A500" s="8"/>
      <c r="B500" s="8"/>
      <c r="C500" s="8"/>
      <c r="D500" s="8"/>
      <c r="E500" s="8"/>
      <c r="F500" s="8"/>
    </row>
    <row r="501" ht="37.5" customHeight="1">
      <c r="A501" s="8"/>
      <c r="B501" s="8"/>
      <c r="C501" s="8"/>
      <c r="D501" s="8"/>
      <c r="E501" s="8"/>
      <c r="F501" s="8"/>
    </row>
    <row r="502" ht="37.5" customHeight="1">
      <c r="A502" s="8"/>
      <c r="B502" s="8"/>
      <c r="C502" s="8"/>
      <c r="D502" s="8"/>
      <c r="E502" s="8"/>
      <c r="F502" s="8"/>
    </row>
    <row r="503" ht="37.5" customHeight="1">
      <c r="A503" s="8"/>
      <c r="B503" s="8"/>
      <c r="C503" s="8"/>
      <c r="D503" s="8"/>
      <c r="E503" s="8"/>
      <c r="F503" s="8"/>
    </row>
    <row r="504" ht="37.5" customHeight="1">
      <c r="A504" s="8"/>
      <c r="B504" s="8"/>
      <c r="C504" s="8"/>
      <c r="D504" s="8"/>
      <c r="E504" s="8"/>
      <c r="F504" s="8"/>
    </row>
    <row r="505" ht="37.5" customHeight="1">
      <c r="A505" s="8"/>
      <c r="B505" s="8"/>
      <c r="C505" s="8"/>
      <c r="D505" s="8"/>
      <c r="E505" s="8"/>
      <c r="F505" s="8"/>
    </row>
    <row r="506" ht="37.5" customHeight="1">
      <c r="A506" s="8"/>
      <c r="B506" s="8"/>
      <c r="C506" s="8"/>
      <c r="D506" s="8"/>
      <c r="E506" s="8"/>
      <c r="F506" s="8"/>
    </row>
    <row r="507" ht="37.5" customHeight="1">
      <c r="A507" s="8"/>
      <c r="B507" s="8"/>
      <c r="C507" s="8"/>
      <c r="D507" s="8"/>
      <c r="E507" s="8"/>
      <c r="F507" s="8"/>
    </row>
    <row r="508" ht="37.5" customHeight="1">
      <c r="A508" s="8"/>
      <c r="B508" s="8"/>
      <c r="C508" s="8"/>
      <c r="D508" s="8"/>
      <c r="E508" s="8"/>
      <c r="F508" s="8"/>
    </row>
    <row r="509" ht="37.5" customHeight="1">
      <c r="A509" s="8"/>
      <c r="B509" s="8"/>
      <c r="C509" s="8"/>
      <c r="D509" s="8"/>
      <c r="E509" s="8"/>
      <c r="F509" s="8"/>
    </row>
    <row r="510" ht="37.5" customHeight="1">
      <c r="A510" s="8"/>
      <c r="B510" s="8"/>
      <c r="C510" s="8"/>
      <c r="D510" s="8"/>
      <c r="E510" s="8"/>
      <c r="F510" s="8"/>
    </row>
    <row r="511" ht="37.5" customHeight="1">
      <c r="A511" s="8"/>
      <c r="B511" s="8"/>
      <c r="C511" s="8"/>
      <c r="D511" s="8"/>
      <c r="E511" s="8"/>
      <c r="F511" s="8"/>
    </row>
    <row r="512" ht="37.5" customHeight="1">
      <c r="A512" s="8"/>
      <c r="B512" s="8"/>
      <c r="C512" s="8"/>
      <c r="D512" s="8"/>
      <c r="E512" s="8"/>
      <c r="F512" s="8"/>
    </row>
    <row r="513" ht="37.5" customHeight="1">
      <c r="A513" s="8"/>
      <c r="B513" s="8"/>
      <c r="C513" s="8"/>
      <c r="D513" s="8"/>
      <c r="E513" s="8"/>
      <c r="F513" s="8"/>
    </row>
    <row r="514" ht="37.5" customHeight="1">
      <c r="A514" s="8"/>
      <c r="B514" s="8"/>
      <c r="C514" s="8"/>
      <c r="D514" s="8"/>
      <c r="E514" s="8"/>
      <c r="F514" s="8"/>
    </row>
    <row r="515" ht="37.5" customHeight="1">
      <c r="A515" s="8"/>
      <c r="B515" s="8"/>
      <c r="C515" s="8"/>
      <c r="D515" s="8"/>
      <c r="E515" s="8"/>
      <c r="F515" s="8"/>
    </row>
    <row r="516" ht="37.5" customHeight="1">
      <c r="A516" s="8"/>
      <c r="B516" s="8"/>
      <c r="C516" s="8"/>
      <c r="D516" s="8"/>
      <c r="E516" s="8"/>
      <c r="F516" s="8"/>
    </row>
    <row r="517" ht="37.5" customHeight="1">
      <c r="A517" s="8"/>
      <c r="B517" s="8"/>
      <c r="C517" s="8"/>
      <c r="D517" s="8"/>
      <c r="E517" s="8"/>
      <c r="F517" s="8"/>
    </row>
    <row r="518" ht="37.5" customHeight="1">
      <c r="A518" s="8"/>
      <c r="B518" s="8"/>
      <c r="C518" s="8"/>
      <c r="D518" s="8"/>
      <c r="E518" s="8"/>
      <c r="F518" s="8"/>
    </row>
    <row r="519" ht="37.5" customHeight="1">
      <c r="A519" s="8"/>
      <c r="B519" s="8"/>
      <c r="C519" s="8"/>
      <c r="D519" s="8"/>
      <c r="E519" s="8"/>
      <c r="F519" s="8"/>
    </row>
    <row r="520" ht="37.5" customHeight="1">
      <c r="A520" s="8"/>
      <c r="B520" s="8"/>
      <c r="C520" s="8"/>
      <c r="D520" s="8"/>
      <c r="E520" s="8"/>
      <c r="F520" s="8"/>
    </row>
    <row r="521" ht="37.5" customHeight="1">
      <c r="A521" s="8"/>
      <c r="B521" s="8"/>
      <c r="C521" s="8"/>
      <c r="D521" s="8"/>
      <c r="E521" s="8"/>
      <c r="F521" s="8"/>
    </row>
    <row r="522" ht="37.5" customHeight="1">
      <c r="A522" s="8"/>
      <c r="B522" s="8"/>
      <c r="C522" s="8"/>
      <c r="D522" s="8"/>
      <c r="E522" s="8"/>
      <c r="F522" s="8"/>
    </row>
    <row r="523" ht="37.5" customHeight="1">
      <c r="A523" s="8"/>
      <c r="B523" s="8"/>
      <c r="C523" s="8"/>
      <c r="D523" s="8"/>
      <c r="E523" s="8"/>
      <c r="F523" s="8"/>
    </row>
    <row r="524" ht="37.5" customHeight="1">
      <c r="A524" s="8"/>
      <c r="B524" s="8"/>
      <c r="C524" s="8"/>
      <c r="D524" s="8"/>
      <c r="E524" s="8"/>
      <c r="F524" s="8"/>
    </row>
    <row r="525" ht="37.5" customHeight="1">
      <c r="A525" s="8"/>
      <c r="B525" s="8"/>
      <c r="C525" s="8"/>
      <c r="D525" s="8"/>
      <c r="E525" s="8"/>
      <c r="F525" s="8"/>
    </row>
    <row r="526" ht="37.5" customHeight="1">
      <c r="A526" s="8"/>
      <c r="B526" s="8"/>
      <c r="C526" s="8"/>
      <c r="D526" s="8"/>
      <c r="E526" s="8"/>
      <c r="F526" s="8"/>
    </row>
    <row r="527" ht="37.5" customHeight="1">
      <c r="A527" s="8"/>
      <c r="B527" s="8"/>
      <c r="C527" s="8"/>
      <c r="D527" s="8"/>
      <c r="E527" s="8"/>
      <c r="F527" s="8"/>
    </row>
    <row r="528" ht="37.5" customHeight="1">
      <c r="A528" s="8"/>
      <c r="B528" s="8"/>
      <c r="C528" s="8"/>
      <c r="D528" s="8"/>
      <c r="E528" s="8"/>
      <c r="F528" s="8"/>
    </row>
    <row r="529" ht="37.5" customHeight="1">
      <c r="A529" s="8"/>
      <c r="B529" s="8"/>
      <c r="C529" s="8"/>
      <c r="D529" s="8"/>
      <c r="E529" s="8"/>
      <c r="F529" s="8"/>
    </row>
    <row r="530" ht="37.5" customHeight="1">
      <c r="A530" s="8"/>
      <c r="B530" s="8"/>
      <c r="C530" s="8"/>
      <c r="D530" s="8"/>
      <c r="E530" s="8"/>
      <c r="F530" s="8"/>
    </row>
    <row r="531" ht="37.5" customHeight="1">
      <c r="A531" s="8"/>
      <c r="B531" s="8"/>
      <c r="C531" s="8"/>
      <c r="D531" s="8"/>
      <c r="E531" s="8"/>
      <c r="F531" s="8"/>
    </row>
    <row r="532" ht="37.5" customHeight="1">
      <c r="A532" s="8"/>
      <c r="B532" s="8"/>
      <c r="C532" s="8"/>
      <c r="D532" s="8"/>
      <c r="E532" s="8"/>
      <c r="F532" s="8"/>
    </row>
    <row r="533" ht="37.5" customHeight="1">
      <c r="A533" s="8"/>
      <c r="B533" s="8"/>
      <c r="C533" s="8"/>
      <c r="D533" s="8"/>
      <c r="E533" s="8"/>
      <c r="F533" s="8"/>
    </row>
    <row r="534" ht="37.5" customHeight="1">
      <c r="A534" s="8"/>
      <c r="B534" s="8"/>
      <c r="C534" s="8"/>
      <c r="D534" s="8"/>
      <c r="E534" s="8"/>
      <c r="F534" s="8"/>
    </row>
    <row r="535" ht="37.5" customHeight="1">
      <c r="A535" s="8"/>
      <c r="B535" s="8"/>
      <c r="C535" s="8"/>
      <c r="D535" s="8"/>
      <c r="E535" s="8"/>
      <c r="F535" s="8"/>
    </row>
    <row r="536" ht="37.5" customHeight="1">
      <c r="A536" s="8"/>
      <c r="B536" s="8"/>
      <c r="C536" s="8"/>
      <c r="D536" s="8"/>
      <c r="E536" s="8"/>
      <c r="F536" s="8"/>
    </row>
    <row r="537" ht="37.5" customHeight="1">
      <c r="A537" s="8"/>
      <c r="B537" s="8"/>
      <c r="C537" s="8"/>
      <c r="D537" s="8"/>
      <c r="E537" s="8"/>
      <c r="F537" s="8"/>
    </row>
    <row r="538" ht="37.5" customHeight="1">
      <c r="A538" s="8"/>
      <c r="B538" s="8"/>
      <c r="C538" s="8"/>
      <c r="D538" s="8"/>
      <c r="E538" s="8"/>
      <c r="F538" s="8"/>
    </row>
    <row r="539" ht="37.5" customHeight="1">
      <c r="A539" s="8"/>
      <c r="B539" s="8"/>
      <c r="C539" s="8"/>
      <c r="D539" s="8"/>
      <c r="E539" s="8"/>
      <c r="F539" s="8"/>
    </row>
    <row r="540" ht="37.5" customHeight="1">
      <c r="A540" s="8"/>
      <c r="B540" s="8"/>
      <c r="C540" s="8"/>
      <c r="D540" s="8"/>
      <c r="E540" s="8"/>
      <c r="F540" s="8"/>
    </row>
    <row r="541" ht="37.5" customHeight="1">
      <c r="A541" s="8"/>
      <c r="B541" s="8"/>
      <c r="C541" s="8"/>
      <c r="D541" s="8"/>
      <c r="E541" s="8"/>
      <c r="F541" s="8"/>
    </row>
    <row r="542" ht="37.5" customHeight="1">
      <c r="A542" s="8"/>
      <c r="B542" s="8"/>
      <c r="C542" s="8"/>
      <c r="D542" s="8"/>
      <c r="E542" s="8"/>
      <c r="F542" s="8"/>
    </row>
    <row r="543" ht="37.5" customHeight="1">
      <c r="A543" s="8"/>
      <c r="B543" s="8"/>
      <c r="C543" s="8"/>
      <c r="D543" s="8"/>
      <c r="E543" s="8"/>
      <c r="F543" s="8"/>
    </row>
    <row r="544" ht="37.5" customHeight="1">
      <c r="A544" s="8"/>
      <c r="B544" s="8"/>
      <c r="C544" s="8"/>
      <c r="D544" s="8"/>
      <c r="E544" s="8"/>
      <c r="F544" s="8"/>
    </row>
    <row r="545" ht="37.5" customHeight="1">
      <c r="A545" s="8"/>
      <c r="B545" s="8"/>
      <c r="C545" s="8"/>
      <c r="D545" s="8"/>
      <c r="E545" s="8"/>
      <c r="F545" s="8"/>
    </row>
    <row r="546" ht="37.5" customHeight="1">
      <c r="A546" s="8"/>
      <c r="B546" s="8"/>
      <c r="C546" s="8"/>
      <c r="D546" s="8"/>
      <c r="E546" s="8"/>
      <c r="F546" s="8"/>
    </row>
    <row r="547" ht="37.5" customHeight="1">
      <c r="A547" s="8"/>
      <c r="B547" s="8"/>
      <c r="C547" s="8"/>
      <c r="D547" s="8"/>
      <c r="E547" s="8"/>
      <c r="F547" s="8"/>
    </row>
    <row r="548" ht="37.5" customHeight="1">
      <c r="A548" s="8"/>
      <c r="B548" s="8"/>
      <c r="C548" s="8"/>
      <c r="D548" s="8"/>
      <c r="E548" s="8"/>
      <c r="F548" s="8"/>
    </row>
    <row r="549" ht="37.5" customHeight="1">
      <c r="A549" s="8"/>
      <c r="B549" s="8"/>
      <c r="C549" s="8"/>
      <c r="D549" s="8"/>
      <c r="E549" s="8"/>
      <c r="F549" s="8"/>
    </row>
    <row r="550" ht="37.5" customHeight="1">
      <c r="A550" s="8"/>
      <c r="B550" s="8"/>
      <c r="C550" s="8"/>
      <c r="D550" s="8"/>
      <c r="E550" s="8"/>
      <c r="F550" s="8"/>
    </row>
    <row r="551" ht="37.5" customHeight="1">
      <c r="A551" s="8"/>
      <c r="B551" s="8"/>
      <c r="C551" s="8"/>
      <c r="D551" s="8"/>
      <c r="E551" s="8"/>
      <c r="F551" s="8"/>
    </row>
    <row r="552" ht="37.5" customHeight="1">
      <c r="A552" s="8"/>
      <c r="B552" s="8"/>
      <c r="C552" s="8"/>
      <c r="D552" s="8"/>
      <c r="E552" s="8"/>
      <c r="F552" s="8"/>
    </row>
    <row r="553" ht="37.5" customHeight="1">
      <c r="A553" s="8"/>
      <c r="B553" s="8"/>
      <c r="C553" s="8"/>
      <c r="D553" s="8"/>
      <c r="E553" s="8"/>
      <c r="F553" s="8"/>
    </row>
    <row r="554" ht="37.5" customHeight="1">
      <c r="A554" s="8"/>
      <c r="B554" s="8"/>
      <c r="C554" s="8"/>
      <c r="D554" s="8"/>
      <c r="E554" s="8"/>
      <c r="F554" s="8"/>
    </row>
    <row r="555" ht="37.5" customHeight="1">
      <c r="A555" s="8"/>
      <c r="B555" s="8"/>
      <c r="C555" s="8"/>
      <c r="D555" s="8"/>
      <c r="E555" s="8"/>
      <c r="F555" s="8"/>
    </row>
    <row r="556" ht="37.5" customHeight="1">
      <c r="A556" s="8"/>
      <c r="B556" s="8"/>
      <c r="C556" s="8"/>
      <c r="D556" s="8"/>
      <c r="E556" s="8"/>
      <c r="F556" s="8"/>
    </row>
    <row r="557" ht="37.5" customHeight="1">
      <c r="A557" s="8"/>
      <c r="B557" s="8"/>
      <c r="C557" s="8"/>
      <c r="D557" s="8"/>
      <c r="E557" s="8"/>
      <c r="F557" s="8"/>
    </row>
    <row r="558" ht="37.5" customHeight="1">
      <c r="A558" s="8"/>
      <c r="B558" s="8"/>
      <c r="C558" s="8"/>
      <c r="D558" s="8"/>
      <c r="E558" s="8"/>
      <c r="F558" s="8"/>
    </row>
    <row r="559" ht="37.5" customHeight="1">
      <c r="A559" s="8"/>
      <c r="B559" s="8"/>
      <c r="C559" s="8"/>
      <c r="D559" s="8"/>
      <c r="E559" s="8"/>
      <c r="F559" s="8"/>
    </row>
    <row r="560" ht="37.5" customHeight="1">
      <c r="A560" s="8"/>
      <c r="B560" s="8"/>
      <c r="C560" s="8"/>
      <c r="D560" s="8"/>
      <c r="E560" s="8"/>
      <c r="F560" s="8"/>
    </row>
    <row r="561" ht="37.5" customHeight="1">
      <c r="A561" s="8"/>
      <c r="B561" s="8"/>
      <c r="C561" s="8"/>
      <c r="D561" s="8"/>
      <c r="E561" s="8"/>
      <c r="F561" s="8"/>
    </row>
    <row r="562" ht="37.5" customHeight="1">
      <c r="A562" s="8"/>
      <c r="B562" s="8"/>
      <c r="C562" s="8"/>
      <c r="D562" s="8"/>
      <c r="E562" s="8"/>
      <c r="F562" s="8"/>
    </row>
    <row r="563" ht="37.5" customHeight="1">
      <c r="A563" s="8"/>
      <c r="B563" s="8"/>
      <c r="C563" s="8"/>
      <c r="D563" s="8"/>
      <c r="E563" s="8"/>
      <c r="F563" s="8"/>
    </row>
    <row r="564" ht="37.5" customHeight="1">
      <c r="A564" s="8"/>
      <c r="B564" s="8"/>
      <c r="C564" s="8"/>
      <c r="D564" s="8"/>
      <c r="E564" s="8"/>
      <c r="F564" s="8"/>
    </row>
    <row r="565" ht="37.5" customHeight="1">
      <c r="A565" s="8"/>
      <c r="B565" s="8"/>
      <c r="C565" s="8"/>
      <c r="D565" s="8"/>
      <c r="E565" s="8"/>
      <c r="F565" s="8"/>
    </row>
    <row r="566" ht="37.5" customHeight="1">
      <c r="A566" s="8"/>
      <c r="B566" s="8"/>
      <c r="C566" s="8"/>
      <c r="D566" s="8"/>
      <c r="E566" s="8"/>
      <c r="F566" s="8"/>
    </row>
    <row r="567" ht="37.5" customHeight="1">
      <c r="A567" s="8"/>
      <c r="B567" s="8"/>
      <c r="C567" s="8"/>
      <c r="D567" s="8"/>
      <c r="E567" s="8"/>
      <c r="F567" s="8"/>
    </row>
    <row r="568" ht="37.5" customHeight="1">
      <c r="A568" s="8"/>
      <c r="B568" s="8"/>
      <c r="C568" s="8"/>
      <c r="D568" s="8"/>
      <c r="E568" s="8"/>
      <c r="F568" s="8"/>
    </row>
    <row r="569" ht="37.5" customHeight="1">
      <c r="A569" s="8"/>
      <c r="B569" s="8"/>
      <c r="C569" s="8"/>
      <c r="D569" s="8"/>
      <c r="E569" s="8"/>
      <c r="F569" s="8"/>
    </row>
    <row r="570" ht="37.5" customHeight="1">
      <c r="A570" s="8"/>
      <c r="B570" s="8"/>
      <c r="C570" s="8"/>
      <c r="D570" s="8"/>
      <c r="E570" s="8"/>
      <c r="F570" s="8"/>
    </row>
    <row r="571" ht="37.5" customHeight="1">
      <c r="A571" s="8"/>
      <c r="B571" s="8"/>
      <c r="C571" s="8"/>
      <c r="D571" s="8"/>
      <c r="E571" s="8"/>
      <c r="F571" s="8"/>
    </row>
    <row r="572" ht="37.5" customHeight="1">
      <c r="A572" s="8"/>
      <c r="B572" s="8"/>
      <c r="C572" s="8"/>
      <c r="D572" s="8"/>
      <c r="E572" s="8"/>
      <c r="F572" s="8"/>
    </row>
    <row r="573" ht="37.5" customHeight="1">
      <c r="A573" s="8"/>
      <c r="B573" s="8"/>
      <c r="C573" s="8"/>
      <c r="D573" s="8"/>
      <c r="E573" s="8"/>
      <c r="F573" s="8"/>
    </row>
    <row r="574" ht="37.5" customHeight="1">
      <c r="A574" s="8"/>
      <c r="B574" s="8"/>
      <c r="C574" s="8"/>
      <c r="D574" s="8"/>
      <c r="E574" s="8"/>
      <c r="F574" s="8"/>
    </row>
    <row r="575" ht="37.5" customHeight="1">
      <c r="A575" s="8"/>
      <c r="B575" s="8"/>
      <c r="C575" s="8"/>
      <c r="D575" s="8"/>
      <c r="E575" s="8"/>
      <c r="F575" s="8"/>
    </row>
    <row r="576" ht="37.5" customHeight="1">
      <c r="A576" s="8"/>
      <c r="B576" s="8"/>
      <c r="C576" s="8"/>
      <c r="D576" s="8"/>
      <c r="E576" s="8"/>
      <c r="F576" s="8"/>
    </row>
    <row r="577" ht="37.5" customHeight="1">
      <c r="A577" s="8"/>
      <c r="B577" s="8"/>
      <c r="C577" s="8"/>
      <c r="D577" s="8"/>
      <c r="E577" s="8"/>
      <c r="F577" s="8"/>
    </row>
    <row r="578" ht="37.5" customHeight="1">
      <c r="A578" s="8"/>
      <c r="B578" s="8"/>
      <c r="C578" s="8"/>
      <c r="D578" s="8"/>
      <c r="E578" s="8"/>
      <c r="F578" s="8"/>
    </row>
    <row r="579" ht="37.5" customHeight="1">
      <c r="A579" s="8"/>
      <c r="B579" s="8"/>
      <c r="C579" s="8"/>
      <c r="D579" s="8"/>
      <c r="E579" s="8"/>
      <c r="F579" s="8"/>
    </row>
    <row r="580" ht="37.5" customHeight="1">
      <c r="A580" s="8"/>
      <c r="B580" s="8"/>
      <c r="C580" s="8"/>
      <c r="D580" s="8"/>
      <c r="E580" s="8"/>
      <c r="F580" s="8"/>
    </row>
    <row r="581" ht="37.5" customHeight="1">
      <c r="A581" s="8"/>
      <c r="B581" s="8"/>
      <c r="C581" s="8"/>
      <c r="D581" s="8"/>
      <c r="E581" s="8"/>
      <c r="F581" s="8"/>
    </row>
    <row r="582" ht="37.5" customHeight="1">
      <c r="A582" s="8"/>
      <c r="B582" s="8"/>
      <c r="C582" s="8"/>
      <c r="D582" s="8"/>
      <c r="E582" s="8"/>
      <c r="F582" s="8"/>
    </row>
    <row r="583" ht="37.5" customHeight="1">
      <c r="A583" s="8"/>
      <c r="B583" s="8"/>
      <c r="C583" s="8"/>
      <c r="D583" s="8"/>
      <c r="E583" s="8"/>
      <c r="F583" s="8"/>
    </row>
    <row r="584" ht="37.5" customHeight="1">
      <c r="A584" s="8"/>
      <c r="B584" s="8"/>
      <c r="C584" s="8"/>
      <c r="D584" s="8"/>
      <c r="E584" s="8"/>
      <c r="F584" s="8"/>
    </row>
    <row r="585" ht="37.5" customHeight="1">
      <c r="A585" s="8"/>
      <c r="B585" s="8"/>
      <c r="C585" s="8"/>
      <c r="D585" s="8"/>
      <c r="E585" s="8"/>
      <c r="F585" s="8"/>
    </row>
    <row r="586" ht="37.5" customHeight="1">
      <c r="A586" s="8"/>
      <c r="B586" s="8"/>
      <c r="C586" s="8"/>
      <c r="D586" s="8"/>
      <c r="E586" s="8"/>
      <c r="F586" s="8"/>
    </row>
    <row r="587" ht="37.5" customHeight="1">
      <c r="A587" s="8"/>
      <c r="B587" s="8"/>
      <c r="C587" s="8"/>
      <c r="D587" s="8"/>
      <c r="E587" s="8"/>
      <c r="F587" s="8"/>
    </row>
    <row r="588" ht="37.5" customHeight="1">
      <c r="A588" s="8"/>
      <c r="B588" s="8"/>
      <c r="C588" s="8"/>
      <c r="D588" s="8"/>
      <c r="E588" s="8"/>
      <c r="F588" s="8"/>
    </row>
    <row r="589" ht="37.5" customHeight="1">
      <c r="A589" s="8"/>
      <c r="B589" s="8"/>
      <c r="C589" s="8"/>
      <c r="D589" s="8"/>
      <c r="E589" s="8"/>
      <c r="F589" s="8"/>
    </row>
    <row r="590" ht="37.5" customHeight="1">
      <c r="A590" s="8"/>
      <c r="B590" s="8"/>
      <c r="C590" s="8"/>
      <c r="D590" s="8"/>
      <c r="E590" s="8"/>
      <c r="F590" s="8"/>
    </row>
    <row r="591" ht="37.5" customHeight="1">
      <c r="A591" s="8"/>
      <c r="B591" s="8"/>
      <c r="C591" s="8"/>
      <c r="D591" s="8"/>
      <c r="E591" s="8"/>
      <c r="F591" s="8"/>
    </row>
    <row r="592" ht="37.5" customHeight="1">
      <c r="A592" s="8"/>
      <c r="B592" s="8"/>
      <c r="C592" s="8"/>
      <c r="D592" s="8"/>
      <c r="E592" s="8"/>
      <c r="F592" s="8"/>
    </row>
    <row r="593" ht="37.5" customHeight="1">
      <c r="A593" s="8"/>
      <c r="B593" s="8"/>
      <c r="C593" s="8"/>
      <c r="D593" s="8"/>
      <c r="E593" s="8"/>
      <c r="F593" s="8"/>
    </row>
    <row r="594" ht="37.5" customHeight="1">
      <c r="A594" s="8"/>
      <c r="B594" s="8"/>
      <c r="C594" s="8"/>
      <c r="D594" s="8"/>
      <c r="E594" s="8"/>
      <c r="F594" s="8"/>
    </row>
    <row r="595" ht="37.5" customHeight="1">
      <c r="A595" s="8"/>
      <c r="B595" s="8"/>
      <c r="C595" s="8"/>
      <c r="D595" s="8"/>
      <c r="E595" s="8"/>
      <c r="F595" s="8"/>
    </row>
    <row r="596" ht="37.5" customHeight="1">
      <c r="A596" s="8"/>
      <c r="B596" s="8"/>
      <c r="C596" s="8"/>
      <c r="D596" s="8"/>
      <c r="E596" s="8"/>
      <c r="F596" s="8"/>
    </row>
    <row r="597" ht="37.5" customHeight="1">
      <c r="A597" s="8"/>
      <c r="B597" s="8"/>
      <c r="C597" s="8"/>
      <c r="D597" s="8"/>
      <c r="E597" s="8"/>
      <c r="F597" s="8"/>
    </row>
    <row r="598" ht="37.5" customHeight="1">
      <c r="A598" s="8"/>
      <c r="B598" s="8"/>
      <c r="C598" s="8"/>
      <c r="D598" s="8"/>
      <c r="E598" s="8"/>
      <c r="F598" s="8"/>
    </row>
    <row r="599" ht="37.5" customHeight="1">
      <c r="A599" s="8"/>
      <c r="B599" s="8"/>
      <c r="C599" s="8"/>
      <c r="D599" s="8"/>
      <c r="E599" s="8"/>
      <c r="F599" s="8"/>
    </row>
    <row r="600" ht="37.5" customHeight="1">
      <c r="A600" s="8"/>
      <c r="B600" s="8"/>
      <c r="C600" s="8"/>
      <c r="D600" s="8"/>
      <c r="E600" s="8"/>
      <c r="F600" s="8"/>
    </row>
    <row r="601" ht="37.5" customHeight="1">
      <c r="A601" s="8"/>
      <c r="B601" s="8"/>
      <c r="C601" s="8"/>
      <c r="D601" s="8"/>
      <c r="E601" s="8"/>
      <c r="F601" s="8"/>
    </row>
    <row r="602" ht="37.5" customHeight="1">
      <c r="A602" s="8"/>
      <c r="B602" s="8"/>
      <c r="C602" s="8"/>
      <c r="D602" s="8"/>
      <c r="E602" s="8"/>
      <c r="F602" s="8"/>
    </row>
    <row r="603" ht="37.5" customHeight="1">
      <c r="A603" s="8"/>
      <c r="B603" s="8"/>
      <c r="C603" s="8"/>
      <c r="D603" s="8"/>
      <c r="E603" s="8"/>
      <c r="F603" s="8"/>
    </row>
    <row r="604" ht="37.5" customHeight="1">
      <c r="A604" s="8"/>
      <c r="B604" s="8"/>
      <c r="C604" s="8"/>
      <c r="D604" s="8"/>
      <c r="E604" s="8"/>
      <c r="F604" s="8"/>
    </row>
    <row r="605" ht="37.5" customHeight="1">
      <c r="A605" s="8"/>
      <c r="B605" s="8"/>
      <c r="C605" s="8"/>
      <c r="D605" s="8"/>
      <c r="E605" s="8"/>
      <c r="F605" s="8"/>
    </row>
    <row r="606" ht="37.5" customHeight="1">
      <c r="A606" s="8"/>
      <c r="B606" s="8"/>
      <c r="C606" s="8"/>
      <c r="D606" s="8"/>
      <c r="E606" s="8"/>
      <c r="F606" s="8"/>
    </row>
    <row r="607" ht="37.5" customHeight="1">
      <c r="A607" s="8"/>
      <c r="B607" s="8"/>
      <c r="C607" s="8"/>
      <c r="D607" s="8"/>
      <c r="E607" s="8"/>
      <c r="F607" s="8"/>
    </row>
    <row r="608" ht="37.5" customHeight="1">
      <c r="A608" s="8"/>
      <c r="B608" s="8"/>
      <c r="C608" s="8"/>
      <c r="D608" s="8"/>
      <c r="E608" s="8"/>
      <c r="F608" s="8"/>
    </row>
    <row r="609" ht="37.5" customHeight="1">
      <c r="A609" s="8"/>
      <c r="B609" s="8"/>
      <c r="C609" s="8"/>
      <c r="D609" s="8"/>
      <c r="E609" s="8"/>
      <c r="F609" s="8"/>
    </row>
    <row r="610" ht="37.5" customHeight="1">
      <c r="A610" s="8"/>
      <c r="B610" s="8"/>
      <c r="C610" s="8"/>
      <c r="D610" s="8"/>
      <c r="E610" s="8"/>
      <c r="F610" s="8"/>
    </row>
    <row r="611" ht="37.5" customHeight="1">
      <c r="A611" s="8"/>
      <c r="B611" s="8"/>
      <c r="C611" s="8"/>
      <c r="D611" s="8"/>
      <c r="E611" s="8"/>
      <c r="F611" s="8"/>
    </row>
    <row r="612" ht="37.5" customHeight="1">
      <c r="A612" s="8"/>
      <c r="B612" s="8"/>
      <c r="C612" s="8"/>
      <c r="D612" s="8"/>
      <c r="E612" s="8"/>
      <c r="F612" s="8"/>
    </row>
    <row r="613" ht="37.5" customHeight="1">
      <c r="A613" s="8"/>
      <c r="B613" s="8"/>
      <c r="C613" s="8"/>
      <c r="D613" s="8"/>
      <c r="E613" s="8"/>
      <c r="F613" s="8"/>
    </row>
    <row r="614" ht="37.5" customHeight="1">
      <c r="A614" s="8"/>
      <c r="B614" s="8"/>
      <c r="C614" s="8"/>
      <c r="D614" s="8"/>
      <c r="E614" s="8"/>
      <c r="F614" s="8"/>
    </row>
    <row r="615" ht="37.5" customHeight="1">
      <c r="A615" s="8"/>
      <c r="B615" s="8"/>
      <c r="C615" s="8"/>
      <c r="D615" s="8"/>
      <c r="E615" s="8"/>
      <c r="F615" s="8"/>
    </row>
    <row r="616" ht="37.5" customHeight="1">
      <c r="A616" s="8"/>
      <c r="B616" s="8"/>
      <c r="C616" s="8"/>
      <c r="D616" s="8"/>
      <c r="E616" s="8"/>
      <c r="F616" s="8"/>
    </row>
    <row r="617" ht="37.5" customHeight="1">
      <c r="A617" s="8"/>
      <c r="B617" s="8"/>
      <c r="C617" s="8"/>
      <c r="D617" s="8"/>
      <c r="E617" s="8"/>
      <c r="F617" s="8"/>
    </row>
    <row r="618" ht="37.5" customHeight="1">
      <c r="A618" s="8"/>
      <c r="B618" s="8"/>
      <c r="C618" s="8"/>
      <c r="D618" s="8"/>
      <c r="E618" s="8"/>
      <c r="F618" s="8"/>
    </row>
    <row r="619" ht="37.5" customHeight="1">
      <c r="A619" s="8"/>
      <c r="B619" s="8"/>
      <c r="C619" s="8"/>
      <c r="D619" s="8"/>
      <c r="E619" s="8"/>
      <c r="F619" s="8"/>
    </row>
    <row r="620" ht="37.5" customHeight="1">
      <c r="A620" s="8"/>
      <c r="B620" s="8"/>
      <c r="C620" s="8"/>
      <c r="D620" s="8"/>
      <c r="E620" s="8"/>
      <c r="F620" s="8"/>
    </row>
    <row r="621" ht="37.5" customHeight="1">
      <c r="A621" s="8"/>
      <c r="B621" s="8"/>
      <c r="C621" s="8"/>
      <c r="D621" s="8"/>
      <c r="E621" s="8"/>
      <c r="F621" s="8"/>
    </row>
    <row r="622" ht="37.5" customHeight="1">
      <c r="A622" s="8"/>
      <c r="B622" s="8"/>
      <c r="C622" s="8"/>
      <c r="D622" s="8"/>
      <c r="E622" s="8"/>
      <c r="F622" s="8"/>
    </row>
    <row r="623" ht="37.5" customHeight="1">
      <c r="A623" s="8"/>
      <c r="B623" s="8"/>
      <c r="C623" s="8"/>
      <c r="D623" s="8"/>
      <c r="E623" s="8"/>
      <c r="F623" s="8"/>
    </row>
    <row r="624" ht="37.5" customHeight="1">
      <c r="A624" s="8"/>
      <c r="B624" s="8"/>
      <c r="C624" s="8"/>
      <c r="D624" s="8"/>
      <c r="E624" s="8"/>
      <c r="F624" s="8"/>
    </row>
    <row r="625" ht="37.5" customHeight="1">
      <c r="A625" s="8"/>
      <c r="B625" s="8"/>
      <c r="C625" s="8"/>
      <c r="D625" s="8"/>
      <c r="E625" s="8"/>
      <c r="F625" s="8"/>
    </row>
    <row r="626" ht="37.5" customHeight="1">
      <c r="A626" s="8"/>
      <c r="B626" s="8"/>
      <c r="C626" s="8"/>
      <c r="D626" s="8"/>
      <c r="E626" s="8"/>
      <c r="F626" s="8"/>
    </row>
    <row r="627" ht="37.5" customHeight="1">
      <c r="A627" s="8"/>
      <c r="B627" s="8"/>
      <c r="C627" s="8"/>
      <c r="D627" s="8"/>
      <c r="E627" s="8"/>
      <c r="F627" s="8"/>
    </row>
    <row r="628" ht="37.5" customHeight="1">
      <c r="A628" s="8"/>
      <c r="B628" s="8"/>
      <c r="C628" s="8"/>
      <c r="D628" s="8"/>
      <c r="E628" s="8"/>
      <c r="F628" s="8"/>
    </row>
    <row r="629" ht="37.5" customHeight="1">
      <c r="A629" s="8"/>
      <c r="B629" s="8"/>
      <c r="C629" s="8"/>
      <c r="D629" s="8"/>
      <c r="E629" s="8"/>
      <c r="F629" s="8"/>
    </row>
    <row r="630" ht="37.5" customHeight="1">
      <c r="A630" s="8"/>
      <c r="B630" s="8"/>
      <c r="C630" s="8"/>
      <c r="D630" s="8"/>
      <c r="E630" s="8"/>
      <c r="F630" s="8"/>
    </row>
    <row r="631" ht="37.5" customHeight="1">
      <c r="A631" s="8"/>
      <c r="B631" s="8"/>
      <c r="C631" s="8"/>
      <c r="D631" s="8"/>
      <c r="E631" s="8"/>
      <c r="F631" s="8"/>
    </row>
    <row r="632" ht="37.5" customHeight="1">
      <c r="A632" s="8"/>
      <c r="B632" s="8"/>
      <c r="C632" s="8"/>
      <c r="D632" s="8"/>
      <c r="E632" s="8"/>
      <c r="F632" s="8"/>
    </row>
    <row r="633" ht="37.5" customHeight="1">
      <c r="A633" s="8"/>
      <c r="B633" s="8"/>
      <c r="C633" s="8"/>
      <c r="D633" s="8"/>
      <c r="E633" s="8"/>
      <c r="F633" s="8"/>
    </row>
    <row r="634" ht="37.5" customHeight="1">
      <c r="A634" s="8"/>
      <c r="B634" s="8"/>
      <c r="C634" s="8"/>
      <c r="D634" s="8"/>
      <c r="E634" s="8"/>
      <c r="F634" s="8"/>
    </row>
    <row r="635" ht="37.5" customHeight="1">
      <c r="A635" s="8"/>
      <c r="B635" s="8"/>
      <c r="C635" s="8"/>
      <c r="D635" s="8"/>
      <c r="E635" s="8"/>
      <c r="F635" s="8"/>
    </row>
    <row r="636" ht="37.5" customHeight="1">
      <c r="A636" s="8"/>
      <c r="B636" s="8"/>
      <c r="C636" s="8"/>
      <c r="D636" s="8"/>
      <c r="E636" s="8"/>
      <c r="F636" s="8"/>
    </row>
    <row r="637" ht="37.5" customHeight="1">
      <c r="A637" s="8"/>
      <c r="B637" s="8"/>
      <c r="C637" s="8"/>
      <c r="D637" s="8"/>
      <c r="E637" s="8"/>
      <c r="F637" s="8"/>
    </row>
  </sheetData>
  <customSheetViews>
    <customSheetView guid="{B07D8034-17A6-4979-AD0A-EDA5D4406C74}" filter="1" showAutoFilter="1">
      <autoFilter ref="$A$1:$F$42"/>
    </customSheetView>
  </customSheetView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5.13"/>
    <col customWidth="1" min="3" max="3" width="7.25"/>
    <col customWidth="1" min="4" max="4" width="9.38"/>
    <col customWidth="1" min="5" max="5" width="8.0"/>
    <col customWidth="1" min="6" max="6" width="25.13"/>
  </cols>
  <sheetData>
    <row r="1" ht="37.5" customHeight="1">
      <c r="A1" s="7" t="s">
        <v>0</v>
      </c>
      <c r="B1" s="7" t="s">
        <v>1</v>
      </c>
      <c r="C1" s="7" t="s">
        <v>2</v>
      </c>
      <c r="D1" s="7" t="s">
        <v>3</v>
      </c>
      <c r="E1" s="7" t="s">
        <v>4</v>
      </c>
      <c r="F1" s="7" t="s">
        <v>5</v>
      </c>
    </row>
    <row r="2" ht="37.5" customHeight="1">
      <c r="A2" s="8" t="str">
        <f>IFERROR(__xludf.DUMMYFUNCTION("FILTER('All Costumes'!A2:F645, 'All Costumes'!E2:E645=""body0"")"),"058x_donkeyjawbone.anm2")</f>
        <v>058x_donkeyjawbone.anm2</v>
      </c>
      <c r="B2" s="8">
        <f>IFERROR(__xludf.DUMMYFUNCTION("""COMPUTED_VALUE"""),-1.0)</f>
        <v>-1</v>
      </c>
      <c r="C2" s="8" t="str">
        <f>IFERROR(__xludf.DUMMYFUNCTION("""COMPUTED_VALUE"""),"")</f>
        <v/>
      </c>
      <c r="D2" s="8">
        <f>IFERROR(__xludf.DUMMYFUNCTION("""COMPUTED_VALUE"""),0.0)</f>
        <v>0</v>
      </c>
      <c r="E2" s="8" t="str">
        <f>IFERROR(__xludf.DUMMYFUNCTION("""COMPUTED_VALUE"""),"body0")</f>
        <v>body0</v>
      </c>
      <c r="F2" s="8" t="str">
        <f>IFERROR(__xludf.DUMMYFUNCTION("""COMPUTED_VALUE"""),"")</f>
        <v/>
      </c>
    </row>
    <row r="3" ht="37.5" customHeight="1">
      <c r="A3" s="8" t="str">
        <f>IFERROR(__xludf.DUMMYFUNCTION("""COMPUTED_VALUE"""),"508_momsrazor.anm2")</f>
        <v>508_momsrazor.anm2</v>
      </c>
      <c r="B3" s="8">
        <f>IFERROR(__xludf.DUMMYFUNCTION("""COMPUTED_VALUE"""),-1.0)</f>
        <v>-1</v>
      </c>
      <c r="C3" s="8" t="str">
        <f>IFERROR(__xludf.DUMMYFUNCTION("""COMPUTED_VALUE"""),"")</f>
        <v/>
      </c>
      <c r="D3" s="8">
        <f>IFERROR(__xludf.DUMMYFUNCTION("""COMPUTED_VALUE"""),0.0)</f>
        <v>0</v>
      </c>
      <c r="E3" s="8" t="str">
        <f>IFERROR(__xludf.DUMMYFUNCTION("""COMPUTED_VALUE"""),"body0")</f>
        <v>body0</v>
      </c>
      <c r="F3" s="8" t="str">
        <f>IFERROR(__xludf.DUMMYFUNCTION("""COMPUTED_VALUE"""),"")</f>
        <v/>
      </c>
    </row>
    <row r="4" ht="37.5" customHeight="1">
      <c r="A4" s="8" t="str">
        <f>IFERROR(__xludf.DUMMYFUNCTION("""COMPUTED_VALUE"""),"210_gnawedleaf_statue.anm2")</f>
        <v>210_gnawedleaf_statue.anm2</v>
      </c>
      <c r="B4" s="8">
        <f>IFERROR(__xludf.DUMMYFUNCTION("""COMPUTED_VALUE"""),4.0)</f>
        <v>4</v>
      </c>
      <c r="C4" s="8" t="str">
        <f>IFERROR(__xludf.DUMMYFUNCTION("""COMPUTED_VALUE"""),"none")</f>
        <v>none</v>
      </c>
      <c r="D4" s="8">
        <f>IFERROR(__xludf.DUMMYFUNCTION("""COMPUTED_VALUE"""),50.0)</f>
        <v>50</v>
      </c>
      <c r="E4" s="8" t="str">
        <f>IFERROR(__xludf.DUMMYFUNCTION("""COMPUTED_VALUE"""),"body0")</f>
        <v>body0</v>
      </c>
      <c r="F4" s="8" t="str">
        <f>IFERROR(__xludf.DUMMYFUNCTION("""COMPUTED_VALUE"""),"")</f>
        <v/>
      </c>
    </row>
    <row r="5" ht="37.5" customHeight="1">
      <c r="A5" s="8" t="str">
        <f>IFERROR(__xludf.DUMMYFUNCTION("""COMPUTED_VALUE"""),"016_raw liver.anm2")</f>
        <v>016_raw liver.anm2</v>
      </c>
      <c r="B5" s="8">
        <f>IFERROR(__xludf.DUMMYFUNCTION("""COMPUTED_VALUE"""),16.0)</f>
        <v>16</v>
      </c>
      <c r="C5" s="8" t="str">
        <f>IFERROR(__xludf.DUMMYFUNCTION("""COMPUTED_VALUE"""),"passive")</f>
        <v>passive</v>
      </c>
      <c r="D5" s="8">
        <f>IFERROR(__xludf.DUMMYFUNCTION("""COMPUTED_VALUE"""),0.0)</f>
        <v>0</v>
      </c>
      <c r="E5" s="8" t="str">
        <f>IFERROR(__xludf.DUMMYFUNCTION("""COMPUTED_VALUE"""),"body0")</f>
        <v>body0</v>
      </c>
      <c r="F5" s="8" t="str">
        <f>IFERROR(__xludf.DUMMYFUNCTION("""COMPUTED_VALUE"""),"")</f>
        <v/>
      </c>
    </row>
    <row r="6" ht="37.5" customHeight="1">
      <c r="A6" s="8" t="str">
        <f>IFERROR(__xludf.DUMMYFUNCTION("""COMPUTED_VALUE"""),"020_transcendence.anm2")</f>
        <v>020_transcendence.anm2</v>
      </c>
      <c r="B6" s="8">
        <f>IFERROR(__xludf.DUMMYFUNCTION("""COMPUTED_VALUE"""),20.0)</f>
        <v>20</v>
      </c>
      <c r="C6" s="8" t="str">
        <f>IFERROR(__xludf.DUMMYFUNCTION("""COMPUTED_VALUE"""),"passive")</f>
        <v>passive</v>
      </c>
      <c r="D6" s="8">
        <f>IFERROR(__xludf.DUMMYFUNCTION("""COMPUTED_VALUE"""),100.0)</f>
        <v>100</v>
      </c>
      <c r="E6" s="8" t="str">
        <f>IFERROR(__xludf.DUMMYFUNCTION("""COMPUTED_VALUE"""),"body0")</f>
        <v>body0</v>
      </c>
      <c r="F6" s="8" t="str">
        <f>IFERROR(__xludf.DUMMYFUNCTION("""COMPUTED_VALUE"""),"")</f>
        <v/>
      </c>
    </row>
    <row r="7" ht="37.5" customHeight="1">
      <c r="A7" s="8" t="str">
        <f>IFERROR(__xludf.DUMMYFUNCTION("""COMPUTED_VALUE"""),"n024_transformation_mom.anm2")</f>
        <v>n024_transformation_mom.anm2</v>
      </c>
      <c r="B7" s="8">
        <f>IFERROR(__xludf.DUMMYFUNCTION("""COMPUTED_VALUE"""),24.0)</f>
        <v>24</v>
      </c>
      <c r="C7" s="8" t="str">
        <f>IFERROR(__xludf.DUMMYFUNCTION("""COMPUTED_VALUE"""),"none")</f>
        <v>none</v>
      </c>
      <c r="D7" s="8">
        <f>IFERROR(__xludf.DUMMYFUNCTION("""COMPUTED_VALUE"""),19.0)</f>
        <v>19</v>
      </c>
      <c r="E7" s="8" t="str">
        <f>IFERROR(__xludf.DUMMYFUNCTION("""COMPUTED_VALUE"""),"body0")</f>
        <v>body0</v>
      </c>
      <c r="F7" s="8" t="str">
        <f>IFERROR(__xludf.DUMMYFUNCTION("""COMPUTED_VALUE"""),"")</f>
        <v/>
      </c>
    </row>
    <row r="8" ht="37.5" customHeight="1">
      <c r="A8" s="8" t="str">
        <f>IFERROR(__xludf.DUMMYFUNCTION("""COMPUTED_VALUE"""),"028_the belt.anm2")</f>
        <v>028_the belt.anm2</v>
      </c>
      <c r="B8" s="8">
        <f>IFERROR(__xludf.DUMMYFUNCTION("""COMPUTED_VALUE"""),28.0)</f>
        <v>28</v>
      </c>
      <c r="C8" s="8" t="str">
        <f>IFERROR(__xludf.DUMMYFUNCTION("""COMPUTED_VALUE"""),"passive")</f>
        <v>passive</v>
      </c>
      <c r="D8" s="8">
        <f>IFERROR(__xludf.DUMMYFUNCTION("""COMPUTED_VALUE"""),0.0)</f>
        <v>0</v>
      </c>
      <c r="E8" s="8" t="str">
        <f>IFERROR(__xludf.DUMMYFUNCTION("""COMPUTED_VALUE"""),"body0")</f>
        <v>body0</v>
      </c>
      <c r="F8" s="8" t="str">
        <f>IFERROR(__xludf.DUMMYFUNCTION("""COMPUTED_VALUE"""),"")</f>
        <v/>
      </c>
    </row>
    <row r="9" ht="37.5" customHeight="1">
      <c r="A9" s="8" t="str">
        <f>IFERROR(__xludf.DUMMYFUNCTION("""COMPUTED_VALUE"""),"029_moms underwear.anm2")</f>
        <v>029_moms underwear.anm2</v>
      </c>
      <c r="B9" s="8">
        <f>IFERROR(__xludf.DUMMYFUNCTION("""COMPUTED_VALUE"""),29.0)</f>
        <v>29</v>
      </c>
      <c r="C9" s="8" t="str">
        <f>IFERROR(__xludf.DUMMYFUNCTION("""COMPUTED_VALUE"""),"passive")</f>
        <v>passive</v>
      </c>
      <c r="D9" s="8">
        <f>IFERROR(__xludf.DUMMYFUNCTION("""COMPUTED_VALUE"""),0.0)</f>
        <v>0</v>
      </c>
      <c r="E9" s="8" t="str">
        <f>IFERROR(__xludf.DUMMYFUNCTION("""COMPUTED_VALUE"""),"body0")</f>
        <v>body0</v>
      </c>
      <c r="F9" s="8" t="str">
        <f>IFERROR(__xludf.DUMMYFUNCTION("""COMPUTED_VALUE"""),"")</f>
        <v/>
      </c>
    </row>
    <row r="10" ht="37.5" customHeight="1">
      <c r="A10" s="8" t="str">
        <f>IFERROR(__xludf.DUMMYFUNCTION("""COMPUTED_VALUE"""),"030_moms heels.anm2")</f>
        <v>030_moms heels.anm2</v>
      </c>
      <c r="B10" s="8">
        <f>IFERROR(__xludf.DUMMYFUNCTION("""COMPUTED_VALUE"""),30.0)</f>
        <v>30</v>
      </c>
      <c r="C10" s="8" t="str">
        <f>IFERROR(__xludf.DUMMYFUNCTION("""COMPUTED_VALUE"""),"passive")</f>
        <v>passive</v>
      </c>
      <c r="D10" s="8">
        <f>IFERROR(__xludf.DUMMYFUNCTION("""COMPUTED_VALUE"""),0.0)</f>
        <v>0</v>
      </c>
      <c r="E10" s="8" t="str">
        <f>IFERROR(__xludf.DUMMYFUNCTION("""COMPUTED_VALUE"""),"body0")</f>
        <v>body0</v>
      </c>
      <c r="F10" s="8" t="str">
        <f>IFERROR(__xludf.DUMMYFUNCTION("""COMPUTED_VALUE"""),"")</f>
        <v/>
      </c>
    </row>
    <row r="11" ht="37.5" customHeight="1">
      <c r="A11" s="8" t="str">
        <f>IFERROR(__xludf.DUMMYFUNCTION("""COMPUTED_VALUE"""),"046_lucky foot.anm2")</f>
        <v>046_lucky foot.anm2</v>
      </c>
      <c r="B11" s="8">
        <f>IFERROR(__xludf.DUMMYFUNCTION("""COMPUTED_VALUE"""),46.0)</f>
        <v>46</v>
      </c>
      <c r="C11" s="8" t="str">
        <f>IFERROR(__xludf.DUMMYFUNCTION("""COMPUTED_VALUE"""),"passive")</f>
        <v>passive</v>
      </c>
      <c r="D11" s="8">
        <f>IFERROR(__xludf.DUMMYFUNCTION("""COMPUTED_VALUE"""),0.0)</f>
        <v>0</v>
      </c>
      <c r="E11" s="8" t="str">
        <f>IFERROR(__xludf.DUMMYFUNCTION("""COMPUTED_VALUE"""),"body0")</f>
        <v>body0</v>
      </c>
      <c r="F11" s="8" t="str">
        <f>IFERROR(__xludf.DUMMYFUNCTION("""COMPUTED_VALUE"""),"")</f>
        <v/>
      </c>
    </row>
    <row r="12" ht="37.5" customHeight="1">
      <c r="A12" s="8" t="str">
        <f>IFERROR(__xludf.DUMMYFUNCTION("""COMPUTED_VALUE"""),"663_toothandnail_statue.anm2")</f>
        <v>663_toothandnail_statue.anm2</v>
      </c>
      <c r="B12" s="8">
        <f>IFERROR(__xludf.DUMMYFUNCTION("""COMPUTED_VALUE"""),59.0)</f>
        <v>59</v>
      </c>
      <c r="C12" s="8" t="str">
        <f>IFERROR(__xludf.DUMMYFUNCTION("""COMPUTED_VALUE"""),"none")</f>
        <v>none</v>
      </c>
      <c r="D12" s="8">
        <f>IFERROR(__xludf.DUMMYFUNCTION("""COMPUTED_VALUE"""),51.0)</f>
        <v>51</v>
      </c>
      <c r="E12" s="8" t="str">
        <f>IFERROR(__xludf.DUMMYFUNCTION("""COMPUTED_VALUE"""),"body0")</f>
        <v>body0</v>
      </c>
      <c r="F12" s="8" t="str">
        <f>IFERROR(__xludf.DUMMYFUNCTION("""COMPUTED_VALUE"""),"")</f>
        <v/>
      </c>
    </row>
    <row r="13" ht="37.5" customHeight="1">
      <c r="A13" s="8" t="str">
        <f>IFERROR(__xludf.DUMMYFUNCTION("""COMPUTED_VALUE"""),"n_reverse_chariot.anm2")</f>
        <v>n_reverse_chariot.anm2</v>
      </c>
      <c r="B13" s="8">
        <f>IFERROR(__xludf.DUMMYFUNCTION("""COMPUTED_VALUE"""),63.0)</f>
        <v>63</v>
      </c>
      <c r="C13" s="8" t="str">
        <f>IFERROR(__xludf.DUMMYFUNCTION("""COMPUTED_VALUE"""),"none")</f>
        <v>none</v>
      </c>
      <c r="D13" s="8">
        <f>IFERROR(__xludf.DUMMYFUNCTION("""COMPUTED_VALUE"""),51.0)</f>
        <v>51</v>
      </c>
      <c r="E13" s="8" t="str">
        <f>IFERROR(__xludf.DUMMYFUNCTION("""COMPUTED_VALUE"""),"body0")</f>
        <v>body0</v>
      </c>
      <c r="F13" s="8" t="str">
        <f>IFERROR(__xludf.DUMMYFUNCTION("""COMPUTED_VALUE"""),"")</f>
        <v/>
      </c>
    </row>
    <row r="14" ht="37.5" customHeight="1">
      <c r="A14" s="8" t="str">
        <f>IFERROR(__xludf.DUMMYFUNCTION("""COMPUTED_VALUE"""),"n_reverse_chariot_alt.anm2")</f>
        <v>n_reverse_chariot_alt.anm2</v>
      </c>
      <c r="B14" s="8">
        <f>IFERROR(__xludf.DUMMYFUNCTION("""COMPUTED_VALUE"""),68.0)</f>
        <v>68</v>
      </c>
      <c r="C14" s="8" t="str">
        <f>IFERROR(__xludf.DUMMYFUNCTION("""COMPUTED_VALUE"""),"none")</f>
        <v>none</v>
      </c>
      <c r="D14" s="8">
        <f>IFERROR(__xludf.DUMMYFUNCTION("""COMPUTED_VALUE"""),51.0)</f>
        <v>51</v>
      </c>
      <c r="E14" s="8" t="str">
        <f>IFERROR(__xludf.DUMMYFUNCTION("""COMPUTED_VALUE"""),"body0")</f>
        <v>body0</v>
      </c>
      <c r="F14" s="8" t="str">
        <f>IFERROR(__xludf.DUMMYFUNCTION("""COMPUTED_VALUE"""),"")</f>
        <v/>
      </c>
    </row>
    <row r="15" ht="37.5" customHeight="1">
      <c r="A15" s="8" t="str">
        <f>IFERROR(__xludf.DUMMYFUNCTION("""COMPUTED_VALUE"""),"n_jupiter_body_pony.anm2")</f>
        <v>n_jupiter_body_pony.anm2</v>
      </c>
      <c r="B15" s="8">
        <f>IFERROR(__xludf.DUMMYFUNCTION("""COMPUTED_VALUE"""),77.0)</f>
        <v>77</v>
      </c>
      <c r="C15" s="8" t="str">
        <f>IFERROR(__xludf.DUMMYFUNCTION("""COMPUTED_VALUE"""),"none")</f>
        <v>none</v>
      </c>
      <c r="D15" s="8">
        <f>IFERROR(__xludf.DUMMYFUNCTION("""COMPUTED_VALUE"""),101.0)</f>
        <v>101</v>
      </c>
      <c r="E15" s="8" t="str">
        <f>IFERROR(__xludf.DUMMYFUNCTION("""COMPUTED_VALUE"""),"body0")</f>
        <v>body0</v>
      </c>
      <c r="F15" s="8" t="str">
        <f>IFERROR(__xludf.DUMMYFUNCTION("""COMPUTED_VALUE"""),"")</f>
        <v/>
      </c>
    </row>
    <row r="16" ht="37.5" customHeight="1">
      <c r="A16" s="8" t="str">
        <f>IFERROR(__xludf.DUMMYFUNCTION("""COMPUTED_VALUE"""),"n_jupiter_body_whitepony.anm2")</f>
        <v>n_jupiter_body_whitepony.anm2</v>
      </c>
      <c r="B16" s="8">
        <f>IFERROR(__xludf.DUMMYFUNCTION("""COMPUTED_VALUE"""),78.0)</f>
        <v>78</v>
      </c>
      <c r="C16" s="8" t="str">
        <f>IFERROR(__xludf.DUMMYFUNCTION("""COMPUTED_VALUE"""),"none")</f>
        <v>none</v>
      </c>
      <c r="D16" s="8">
        <f>IFERROR(__xludf.DUMMYFUNCTION("""COMPUTED_VALUE"""),101.0)</f>
        <v>101</v>
      </c>
      <c r="E16" s="8" t="str">
        <f>IFERROR(__xludf.DUMMYFUNCTION("""COMPUTED_VALUE"""),"body0")</f>
        <v>body0</v>
      </c>
      <c r="F16" s="8" t="str">
        <f>IFERROR(__xludf.DUMMYFUNCTION("""COMPUTED_VALUE"""),"")</f>
        <v/>
      </c>
    </row>
    <row r="17" ht="37.5" customHeight="1">
      <c r="A17" s="8" t="str">
        <f>IFERROR(__xludf.DUMMYFUNCTION("""COMPUTED_VALUE"""),"character_b09_lazarus.anm2")</f>
        <v>character_b09_lazarus.anm2</v>
      </c>
      <c r="B17" s="8">
        <f>IFERROR(__xludf.DUMMYFUNCTION("""COMPUTED_VALUE"""),87.0)</f>
        <v>87</v>
      </c>
      <c r="C17" s="8" t="str">
        <f>IFERROR(__xludf.DUMMYFUNCTION("""COMPUTED_VALUE"""),"none")</f>
        <v>none</v>
      </c>
      <c r="D17" s="8">
        <f>IFERROR(__xludf.DUMMYFUNCTION("""COMPUTED_VALUE"""),99.0)</f>
        <v>99</v>
      </c>
      <c r="E17" s="8" t="str">
        <f>IFERROR(__xludf.DUMMYFUNCTION("""COMPUTED_VALUE"""),"body0")</f>
        <v>body0</v>
      </c>
      <c r="F17" s="8" t="str">
        <f>IFERROR(__xludf.DUMMYFUNCTION("""COMPUTED_VALUE"""),"")</f>
        <v/>
      </c>
    </row>
    <row r="18" ht="37.5" customHeight="1">
      <c r="A18" s="8" t="str">
        <f>IFERROR(__xludf.DUMMYFUNCTION("""COMPUTED_VALUE"""),"674_spiritshackles.anm2")</f>
        <v>674_spiritshackles.anm2</v>
      </c>
      <c r="B18" s="8">
        <f>IFERROR(__xludf.DUMMYFUNCTION("""COMPUTED_VALUE"""),102.0)</f>
        <v>102</v>
      </c>
      <c r="C18" s="8" t="str">
        <f>IFERROR(__xludf.DUMMYFUNCTION("""COMPUTED_VALUE"""),"none")</f>
        <v>none</v>
      </c>
      <c r="D18" s="8">
        <f>IFERROR(__xludf.DUMMYFUNCTION("""COMPUTED_VALUE"""),11.0)</f>
        <v>11</v>
      </c>
      <c r="E18" s="8" t="str">
        <f>IFERROR(__xludf.DUMMYFUNCTION("""COMPUTED_VALUE"""),"body0")</f>
        <v>body0</v>
      </c>
      <c r="F18" s="8" t="str">
        <f>IFERROR(__xludf.DUMMYFUNCTION("""COMPUTED_VALUE"""),"")</f>
        <v/>
      </c>
    </row>
    <row r="19" ht="37.5" customHeight="1">
      <c r="A19" s="8" t="str">
        <f>IFERROR(__xludf.DUMMYFUNCTION("""COMPUTED_VALUE"""),"character_b09_lazarus2.anm2")</f>
        <v>character_b09_lazarus2.anm2</v>
      </c>
      <c r="B19" s="8">
        <f>IFERROR(__xludf.DUMMYFUNCTION("""COMPUTED_VALUE"""),104.0)</f>
        <v>104</v>
      </c>
      <c r="C19" s="8" t="str">
        <f>IFERROR(__xludf.DUMMYFUNCTION("""COMPUTED_VALUE"""),"none")</f>
        <v>none</v>
      </c>
      <c r="D19" s="8">
        <f>IFERROR(__xludf.DUMMYFUNCTION("""COMPUTED_VALUE"""),99.0)</f>
        <v>99</v>
      </c>
      <c r="E19" s="8" t="str">
        <f>IFERROR(__xludf.DUMMYFUNCTION("""COMPUTED_VALUE"""),"body0")</f>
        <v>body0</v>
      </c>
      <c r="F19" s="8" t="str">
        <f>IFERROR(__xludf.DUMMYFUNCTION("""COMPUTED_VALUE"""),"")</f>
        <v/>
      </c>
    </row>
    <row r="20" ht="37.5" customHeight="1">
      <c r="A20" s="8" t="str">
        <f>IFERROR(__xludf.DUMMYFUNCTION("""COMPUTED_VALUE"""),"n_bloody_babylon.anm2")</f>
        <v>n_bloody_babylon.anm2</v>
      </c>
      <c r="B20" s="8">
        <f>IFERROR(__xludf.DUMMYFUNCTION("""COMPUTED_VALUE"""),110.0)</f>
        <v>110</v>
      </c>
      <c r="C20" s="8" t="str">
        <f>IFERROR(__xludf.DUMMYFUNCTION("""COMPUTED_VALUE"""),"none")</f>
        <v>none</v>
      </c>
      <c r="D20" s="8">
        <f>IFERROR(__xludf.DUMMYFUNCTION("""COMPUTED_VALUE"""),99.0)</f>
        <v>99</v>
      </c>
      <c r="E20" s="8" t="str">
        <f>IFERROR(__xludf.DUMMYFUNCTION("""COMPUTED_VALUE"""),"body0")</f>
        <v>body0</v>
      </c>
      <c r="F20" s="8" t="str">
        <f>IFERROR(__xludf.DUMMYFUNCTION("""COMPUTED_VALUE"""),"")</f>
        <v/>
      </c>
    </row>
    <row r="21" ht="37.5" customHeight="1">
      <c r="A21" s="8" t="str">
        <f>IFERROR(__xludf.DUMMYFUNCTION("""COMPUTED_VALUE"""),"130_pony.anm2")</f>
        <v>130_pony.anm2</v>
      </c>
      <c r="B21" s="8">
        <f>IFERROR(__xludf.DUMMYFUNCTION("""COMPUTED_VALUE"""),130.0)</f>
        <v>130</v>
      </c>
      <c r="C21" s="8" t="str">
        <f>IFERROR(__xludf.DUMMYFUNCTION("""COMPUTED_VALUE"""),"passive")</f>
        <v>passive</v>
      </c>
      <c r="D21" s="8">
        <f>IFERROR(__xludf.DUMMYFUNCTION("""COMPUTED_VALUE"""),23.0)</f>
        <v>23</v>
      </c>
      <c r="E21" s="8" t="str">
        <f>IFERROR(__xludf.DUMMYFUNCTION("""COMPUTED_VALUE"""),"body0")</f>
        <v>body0</v>
      </c>
      <c r="F21" s="8" t="str">
        <f>IFERROR(__xludf.DUMMYFUNCTION("""COMPUTED_VALUE"""),"")</f>
        <v/>
      </c>
    </row>
    <row r="22" ht="37.5" customHeight="1">
      <c r="A22" s="8" t="str">
        <f>IFERROR(__xludf.DUMMYFUNCTION("""COMPUTED_VALUE"""),"134_guppys tail.anm2")</f>
        <v>134_guppys tail.anm2</v>
      </c>
      <c r="B22" s="8">
        <f>IFERROR(__xludf.DUMMYFUNCTION("""COMPUTED_VALUE"""),134.0)</f>
        <v>134</v>
      </c>
      <c r="C22" s="8" t="str">
        <f>IFERROR(__xludf.DUMMYFUNCTION("""COMPUTED_VALUE"""),"passive")</f>
        <v>passive</v>
      </c>
      <c r="D22" s="8">
        <f>IFERROR(__xludf.DUMMYFUNCTION("""COMPUTED_VALUE"""),0.0)</f>
        <v>0</v>
      </c>
      <c r="E22" s="8" t="str">
        <f>IFERROR(__xludf.DUMMYFUNCTION("""COMPUTED_VALUE"""),"body0")</f>
        <v>body0</v>
      </c>
      <c r="F22" s="8" t="str">
        <f>IFERROR(__xludf.DUMMYFUNCTION("""COMPUTED_VALUE"""),"")</f>
        <v/>
      </c>
    </row>
    <row r="23" ht="37.5" customHeight="1">
      <c r="A23" s="8" t="str">
        <f>IFERROR(__xludf.DUMMYFUNCTION("""COMPUTED_VALUE"""),"181_white pony.anm2")</f>
        <v>181_white pony.anm2</v>
      </c>
      <c r="B23" s="8">
        <f>IFERROR(__xludf.DUMMYFUNCTION("""COMPUTED_VALUE"""),181.0)</f>
        <v>181</v>
      </c>
      <c r="C23" s="8" t="str">
        <f>IFERROR(__xludf.DUMMYFUNCTION("""COMPUTED_VALUE"""),"passive")</f>
        <v>passive</v>
      </c>
      <c r="D23" s="8">
        <f>IFERROR(__xludf.DUMMYFUNCTION("""COMPUTED_VALUE"""),23.0)</f>
        <v>23</v>
      </c>
      <c r="E23" s="8" t="str">
        <f>IFERROR(__xludf.DUMMYFUNCTION("""COMPUTED_VALUE"""),"body0")</f>
        <v>body0</v>
      </c>
      <c r="F23" s="8" t="str">
        <f>IFERROR(__xludf.DUMMYFUNCTION("""COMPUTED_VALUE"""),"")</f>
        <v/>
      </c>
    </row>
    <row r="24" ht="37.5" customHeight="1">
      <c r="A24" s="8" t="str">
        <f>IFERROR(__xludf.DUMMYFUNCTION("""COMPUTED_VALUE"""),"195_moms coin purse.anm2")</f>
        <v>195_moms coin purse.anm2</v>
      </c>
      <c r="B24" s="8">
        <f>IFERROR(__xludf.DUMMYFUNCTION("""COMPUTED_VALUE"""),195.0)</f>
        <v>195</v>
      </c>
      <c r="C24" s="8" t="str">
        <f>IFERROR(__xludf.DUMMYFUNCTION("""COMPUTED_VALUE"""),"passive")</f>
        <v>passive</v>
      </c>
      <c r="D24" s="8">
        <f>IFERROR(__xludf.DUMMYFUNCTION("""COMPUTED_VALUE"""),0.0)</f>
        <v>0</v>
      </c>
      <c r="E24" s="8" t="str">
        <f>IFERROR(__xludf.DUMMYFUNCTION("""COMPUTED_VALUE"""),"body0")</f>
        <v>body0</v>
      </c>
      <c r="F24" s="8" t="str">
        <f>IFERROR(__xludf.DUMMYFUNCTION("""COMPUTED_VALUE"""),"")</f>
        <v/>
      </c>
    </row>
    <row r="25" ht="37.5" customHeight="1">
      <c r="A25" s="8" t="str">
        <f>IFERROR(__xludf.DUMMYFUNCTION("""COMPUTED_VALUE"""),"198_box.anm2")</f>
        <v>198_box.anm2</v>
      </c>
      <c r="B25" s="8">
        <f>IFERROR(__xludf.DUMMYFUNCTION("""COMPUTED_VALUE"""),198.0)</f>
        <v>198</v>
      </c>
      <c r="C25" s="8" t="str">
        <f>IFERROR(__xludf.DUMMYFUNCTION("""COMPUTED_VALUE"""),"passive")</f>
        <v>passive</v>
      </c>
      <c r="D25" s="8">
        <f>IFERROR(__xludf.DUMMYFUNCTION("""COMPUTED_VALUE"""),0.0)</f>
        <v>0</v>
      </c>
      <c r="E25" s="8" t="str">
        <f>IFERROR(__xludf.DUMMYFUNCTION("""COMPUTED_VALUE"""),"body0")</f>
        <v>body0</v>
      </c>
      <c r="F25" s="8" t="str">
        <f>IFERROR(__xludf.DUMMYFUNCTION("""COMPUTED_VALUE"""),"")</f>
        <v/>
      </c>
    </row>
    <row r="26" ht="37.5" customHeight="1">
      <c r="A26" s="8" t="str">
        <f>IFERROR(__xludf.DUMMYFUNCTION("""COMPUTED_VALUE"""),"204_fannypack.anm2")</f>
        <v>204_fannypack.anm2</v>
      </c>
      <c r="B26" s="8">
        <f>IFERROR(__xludf.DUMMYFUNCTION("""COMPUTED_VALUE"""),204.0)</f>
        <v>204</v>
      </c>
      <c r="C26" s="8" t="str">
        <f>IFERROR(__xludf.DUMMYFUNCTION("""COMPUTED_VALUE"""),"passive")</f>
        <v>passive</v>
      </c>
      <c r="D26" s="8">
        <f>IFERROR(__xludf.DUMMYFUNCTION("""COMPUTED_VALUE"""),0.0)</f>
        <v>0</v>
      </c>
      <c r="E26" s="8" t="str">
        <f>IFERROR(__xludf.DUMMYFUNCTION("""COMPUTED_VALUE"""),"body0")</f>
        <v>body0</v>
      </c>
      <c r="F26" s="8" t="str">
        <f>IFERROR(__xludf.DUMMYFUNCTION("""COMPUTED_VALUE"""),"")</f>
        <v/>
      </c>
    </row>
    <row r="27" ht="37.5" customHeight="1">
      <c r="A27" s="8" t="str">
        <f>IFERROR(__xludf.DUMMYFUNCTION("""COMPUTED_VALUE"""),"208_championbelt.anm2")</f>
        <v>208_championbelt.anm2</v>
      </c>
      <c r="B27" s="8">
        <f>IFERROR(__xludf.DUMMYFUNCTION("""COMPUTED_VALUE"""),208.0)</f>
        <v>208</v>
      </c>
      <c r="C27" s="8" t="str">
        <f>IFERROR(__xludf.DUMMYFUNCTION("""COMPUTED_VALUE"""),"passive")</f>
        <v>passive</v>
      </c>
      <c r="D27" s="8">
        <f>IFERROR(__xludf.DUMMYFUNCTION("""COMPUTED_VALUE"""),0.0)</f>
        <v>0</v>
      </c>
      <c r="E27" s="8" t="str">
        <f>IFERROR(__xludf.DUMMYFUNCTION("""COMPUTED_VALUE"""),"body0")</f>
        <v>body0</v>
      </c>
      <c r="F27" s="8" t="str">
        <f>IFERROR(__xludf.DUMMYFUNCTION("""COMPUTED_VALUE"""),"")</f>
        <v/>
      </c>
    </row>
    <row r="28" ht="37.5" customHeight="1">
      <c r="A28" s="8" t="str">
        <f>IFERROR(__xludf.DUMMYFUNCTION("""COMPUTED_VALUE"""),"209_buttbombs.anm2")</f>
        <v>209_buttbombs.anm2</v>
      </c>
      <c r="B28" s="8">
        <f>IFERROR(__xludf.DUMMYFUNCTION("""COMPUTED_VALUE"""),209.0)</f>
        <v>209</v>
      </c>
      <c r="C28" s="8" t="str">
        <f>IFERROR(__xludf.DUMMYFUNCTION("""COMPUTED_VALUE"""),"passive")</f>
        <v>passive</v>
      </c>
      <c r="D28" s="8">
        <f>IFERROR(__xludf.DUMMYFUNCTION("""COMPUTED_VALUE"""),0.0)</f>
        <v>0</v>
      </c>
      <c r="E28" s="8" t="str">
        <f>IFERROR(__xludf.DUMMYFUNCTION("""COMPUTED_VALUE"""),"body0")</f>
        <v>body0</v>
      </c>
      <c r="F28" s="8" t="str">
        <f>IFERROR(__xludf.DUMMYFUNCTION("""COMPUTED_VALUE"""),"")</f>
        <v/>
      </c>
    </row>
    <row r="29" ht="37.5" customHeight="1">
      <c r="A29" s="8" t="str">
        <f>IFERROR(__xludf.DUMMYFUNCTION("""COMPUTED_VALUE"""),"210_gnawedleaf.anm2")</f>
        <v>210_gnawedleaf.anm2</v>
      </c>
      <c r="B29" s="8">
        <f>IFERROR(__xludf.DUMMYFUNCTION("""COMPUTED_VALUE"""),210.0)</f>
        <v>210</v>
      </c>
      <c r="C29" s="8" t="str">
        <f>IFERROR(__xludf.DUMMYFUNCTION("""COMPUTED_VALUE"""),"passive")</f>
        <v>passive</v>
      </c>
      <c r="D29" s="8">
        <f>IFERROR(__xludf.DUMMYFUNCTION("""COMPUTED_VALUE"""),1.0)</f>
        <v>1</v>
      </c>
      <c r="E29" s="8" t="str">
        <f>IFERROR(__xludf.DUMMYFUNCTION("""COMPUTED_VALUE"""),"body0")</f>
        <v>body0</v>
      </c>
      <c r="F29" s="8" t="str">
        <f>IFERROR(__xludf.DUMMYFUNCTION("""COMPUTED_VALUE"""),"")</f>
        <v/>
      </c>
    </row>
    <row r="30" ht="37.5" customHeight="1">
      <c r="A30" s="8" t="str">
        <f>IFERROR(__xludf.DUMMYFUNCTION("""COMPUTED_VALUE"""),"216_ceremonialrobes.anm2")</f>
        <v>216_ceremonialrobes.anm2</v>
      </c>
      <c r="B30" s="8">
        <f>IFERROR(__xludf.DUMMYFUNCTION("""COMPUTED_VALUE"""),216.0)</f>
        <v>216</v>
      </c>
      <c r="C30" s="8" t="str">
        <f>IFERROR(__xludf.DUMMYFUNCTION("""COMPUTED_VALUE"""),"passive")</f>
        <v>passive</v>
      </c>
      <c r="D30" s="8">
        <f>IFERROR(__xludf.DUMMYFUNCTION("""COMPUTED_VALUE"""),0.0)</f>
        <v>0</v>
      </c>
      <c r="E30" s="8" t="str">
        <f>IFERROR(__xludf.DUMMYFUNCTION("""COMPUTED_VALUE"""),"body0")</f>
        <v>body0</v>
      </c>
      <c r="F30" s="8" t="str">
        <f>IFERROR(__xludf.DUMMYFUNCTION("""COMPUTED_VALUE"""),"")</f>
        <v/>
      </c>
    </row>
    <row r="31" ht="37.5" customHeight="1">
      <c r="A31" s="8" t="str">
        <f>IFERROR(__xludf.DUMMYFUNCTION("""COMPUTED_VALUE"""),"232_stopwatch.anm2")</f>
        <v>232_stopwatch.anm2</v>
      </c>
      <c r="B31" s="8">
        <f>IFERROR(__xludf.DUMMYFUNCTION("""COMPUTED_VALUE"""),232.0)</f>
        <v>232</v>
      </c>
      <c r="C31" s="8" t="str">
        <f>IFERROR(__xludf.DUMMYFUNCTION("""COMPUTED_VALUE"""),"passive")</f>
        <v>passive</v>
      </c>
      <c r="D31" s="8">
        <f>IFERROR(__xludf.DUMMYFUNCTION("""COMPUTED_VALUE"""),0.0)</f>
        <v>0</v>
      </c>
      <c r="E31" s="8" t="str">
        <f>IFERROR(__xludf.DUMMYFUNCTION("""COMPUTED_VALUE"""),"body0")</f>
        <v>body0</v>
      </c>
      <c r="F31" s="8" t="str">
        <f>IFERROR(__xludf.DUMMYFUNCTION("""COMPUTED_VALUE"""),"")</f>
        <v/>
      </c>
    </row>
    <row r="32" ht="37.5" customHeight="1">
      <c r="A32" s="8" t="str">
        <f>IFERROR(__xludf.DUMMYFUNCTION("""COMPUTED_VALUE"""),"248_hive mind.anm2")</f>
        <v>248_hive mind.anm2</v>
      </c>
      <c r="B32" s="8">
        <f>IFERROR(__xludf.DUMMYFUNCTION("""COMPUTED_VALUE"""),248.0)</f>
        <v>248</v>
      </c>
      <c r="C32" s="8" t="str">
        <f>IFERROR(__xludf.DUMMYFUNCTION("""COMPUTED_VALUE"""),"passive")</f>
        <v>passive</v>
      </c>
      <c r="D32" s="8">
        <f>IFERROR(__xludf.DUMMYFUNCTION("""COMPUTED_VALUE"""),0.0)</f>
        <v>0</v>
      </c>
      <c r="E32" s="8" t="str">
        <f>IFERROR(__xludf.DUMMYFUNCTION("""COMPUTED_VALUE"""),"body0")</f>
        <v>body0</v>
      </c>
      <c r="F32" s="8" t="str">
        <f>IFERROR(__xludf.DUMMYFUNCTION("""COMPUTED_VALUE"""),"")</f>
        <v/>
      </c>
    </row>
    <row r="33" ht="37.5" customHeight="1">
      <c r="A33" s="8" t="str">
        <f>IFERROR(__xludf.DUMMYFUNCTION("""COMPUTED_VALUE"""),"255_screw.anm2")</f>
        <v>255_screw.anm2</v>
      </c>
      <c r="B33" s="8">
        <f>IFERROR(__xludf.DUMMYFUNCTION("""COMPUTED_VALUE"""),255.0)</f>
        <v>255</v>
      </c>
      <c r="C33" s="8" t="str">
        <f>IFERROR(__xludf.DUMMYFUNCTION("""COMPUTED_VALUE"""),"passive")</f>
        <v>passive</v>
      </c>
      <c r="D33" s="8">
        <f>IFERROR(__xludf.DUMMYFUNCTION("""COMPUTED_VALUE"""),0.0)</f>
        <v>0</v>
      </c>
      <c r="E33" s="8" t="str">
        <f>IFERROR(__xludf.DUMMYFUNCTION("""COMPUTED_VALUE"""),"body0")</f>
        <v>body0</v>
      </c>
      <c r="F33" s="8" t="str">
        <f>IFERROR(__xludf.DUMMYFUNCTION("""COMPUTED_VALUE"""),"")</f>
        <v/>
      </c>
    </row>
    <row r="34" ht="37.5" customHeight="1">
      <c r="A34" s="8" t="str">
        <f>IFERROR(__xludf.DUMMYFUNCTION("""COMPUTED_VALUE"""),"262_missingpage2.anm2")</f>
        <v>262_missingpage2.anm2</v>
      </c>
      <c r="B34" s="8">
        <f>IFERROR(__xludf.DUMMYFUNCTION("""COMPUTED_VALUE"""),262.0)</f>
        <v>262</v>
      </c>
      <c r="C34" s="8" t="str">
        <f>IFERROR(__xludf.DUMMYFUNCTION("""COMPUTED_VALUE"""),"passive")</f>
        <v>passive</v>
      </c>
      <c r="D34" s="8">
        <f>IFERROR(__xludf.DUMMYFUNCTION("""COMPUTED_VALUE"""),0.0)</f>
        <v>0</v>
      </c>
      <c r="E34" s="8" t="str">
        <f>IFERROR(__xludf.DUMMYFUNCTION("""COMPUTED_VALUE"""),"body0")</f>
        <v>body0</v>
      </c>
      <c r="F34" s="8" t="str">
        <f>IFERROR(__xludf.DUMMYFUNCTION("""COMPUTED_VALUE"""),"")</f>
        <v/>
      </c>
    </row>
    <row r="35" ht="37.5" customHeight="1">
      <c r="A35" s="8" t="str">
        <f>IFERROR(__xludf.DUMMYFUNCTION("""COMPUTED_VALUE"""),"308_aquarius.anm2")</f>
        <v>308_aquarius.anm2</v>
      </c>
      <c r="B35" s="8">
        <f>IFERROR(__xludf.DUMMYFUNCTION("""COMPUTED_VALUE"""),308.0)</f>
        <v>308</v>
      </c>
      <c r="C35" s="8" t="str">
        <f>IFERROR(__xludf.DUMMYFUNCTION("""COMPUTED_VALUE"""),"passive")</f>
        <v>passive</v>
      </c>
      <c r="D35" s="8">
        <f>IFERROR(__xludf.DUMMYFUNCTION("""COMPUTED_VALUE"""),0.0)</f>
        <v>0</v>
      </c>
      <c r="E35" s="8" t="str">
        <f>IFERROR(__xludf.DUMMYFUNCTION("""COMPUTED_VALUE"""),"body0")</f>
        <v>body0</v>
      </c>
      <c r="F35" s="8" t="str">
        <f>IFERROR(__xludf.DUMMYFUNCTION("""COMPUTED_VALUE"""),"")</f>
        <v/>
      </c>
    </row>
    <row r="36" ht="37.5" customHeight="1">
      <c r="A36" s="8" t="str">
        <f>IFERROR(__xludf.DUMMYFUNCTION("""COMPUTED_VALUE"""),"332_lazarus rags.anm2")</f>
        <v>332_lazarus rags.anm2</v>
      </c>
      <c r="B36" s="8">
        <f>IFERROR(__xludf.DUMMYFUNCTION("""COMPUTED_VALUE"""),332.0)</f>
        <v>332</v>
      </c>
      <c r="C36" s="8" t="str">
        <f>IFERROR(__xludf.DUMMYFUNCTION("""COMPUTED_VALUE"""),"passive")</f>
        <v>passive</v>
      </c>
      <c r="D36" s="8">
        <f>IFERROR(__xludf.DUMMYFUNCTION("""COMPUTED_VALUE"""),0.0)</f>
        <v>0</v>
      </c>
      <c r="E36" s="8" t="str">
        <f>IFERROR(__xludf.DUMMYFUNCTION("""COMPUTED_VALUE"""),"body0")</f>
        <v>body0</v>
      </c>
      <c r="F36" s="8" t="str">
        <f>IFERROR(__xludf.DUMMYFUNCTION("""COMPUTED_VALUE"""),"")</f>
        <v/>
      </c>
    </row>
    <row r="37" ht="37.5" customHeight="1">
      <c r="A37" s="8" t="str">
        <f>IFERROR(__xludf.DUMMYFUNCTION("""COMPUTED_VALUE"""),"337_broken stopwatch.anm2")</f>
        <v>337_broken stopwatch.anm2</v>
      </c>
      <c r="B37" s="8">
        <f>IFERROR(__xludf.DUMMYFUNCTION("""COMPUTED_VALUE"""),337.0)</f>
        <v>337</v>
      </c>
      <c r="C37" s="8" t="str">
        <f>IFERROR(__xludf.DUMMYFUNCTION("""COMPUTED_VALUE"""),"passive")</f>
        <v>passive</v>
      </c>
      <c r="D37" s="8">
        <f>IFERROR(__xludf.DUMMYFUNCTION("""COMPUTED_VALUE"""),0.0)</f>
        <v>0</v>
      </c>
      <c r="E37" s="8" t="str">
        <f>IFERROR(__xludf.DUMMYFUNCTION("""COMPUTED_VALUE"""),"body0")</f>
        <v>body0</v>
      </c>
      <c r="F37" s="8" t="str">
        <f>IFERROR(__xludf.DUMMYFUNCTION("""COMPUTED_VALUE"""),"")</f>
        <v/>
      </c>
    </row>
    <row r="38" ht="37.5" customHeight="1">
      <c r="A38" s="8" t="str">
        <f>IFERROR(__xludf.DUMMYFUNCTION("""COMPUTED_VALUE"""),"343_latchkey.anm2")</f>
        <v>343_latchkey.anm2</v>
      </c>
      <c r="B38" s="8">
        <f>IFERROR(__xludf.DUMMYFUNCTION("""COMPUTED_VALUE"""),343.0)</f>
        <v>343</v>
      </c>
      <c r="C38" s="8" t="str">
        <f>IFERROR(__xludf.DUMMYFUNCTION("""COMPUTED_VALUE"""),"passive")</f>
        <v>passive</v>
      </c>
      <c r="D38" s="8">
        <f>IFERROR(__xludf.DUMMYFUNCTION("""COMPUTED_VALUE"""),0.0)</f>
        <v>0</v>
      </c>
      <c r="E38" s="8" t="str">
        <f>IFERROR(__xludf.DUMMYFUNCTION("""COMPUTED_VALUE"""),"body0")</f>
        <v>body0</v>
      </c>
      <c r="F38" s="8" t="str">
        <f>IFERROR(__xludf.DUMMYFUNCTION("""COMPUTED_VALUE"""),"")</f>
        <v/>
      </c>
    </row>
    <row r="39" ht="37.5" customHeight="1">
      <c r="A39" s="8" t="str">
        <f>IFERROR(__xludf.DUMMYFUNCTION("""COMPUTED_VALUE"""),"344_matchbook.anm2")</f>
        <v>344_matchbook.anm2</v>
      </c>
      <c r="B39" s="8">
        <f>IFERROR(__xludf.DUMMYFUNCTION("""COMPUTED_VALUE"""),344.0)</f>
        <v>344</v>
      </c>
      <c r="C39" s="8" t="str">
        <f>IFERROR(__xludf.DUMMYFUNCTION("""COMPUTED_VALUE"""),"passive")</f>
        <v>passive</v>
      </c>
      <c r="D39" s="8">
        <f>IFERROR(__xludf.DUMMYFUNCTION("""COMPUTED_VALUE"""),0.0)</f>
        <v>0</v>
      </c>
      <c r="E39" s="8" t="str">
        <f>IFERROR(__xludf.DUMMYFUNCTION("""COMPUTED_VALUE"""),"body0")</f>
        <v>body0</v>
      </c>
      <c r="F39" s="8" t="str">
        <f>IFERROR(__xludf.DUMMYFUNCTION("""COMPUTED_VALUE"""),"")</f>
        <v/>
      </c>
    </row>
    <row r="40" ht="37.5" customHeight="1">
      <c r="A40" s="8" t="str">
        <f>IFERROR(__xludf.DUMMYFUNCTION("""COMPUTED_VALUE"""),"354_crackerjacks.anm2")</f>
        <v>354_crackerjacks.anm2</v>
      </c>
      <c r="B40" s="8">
        <f>IFERROR(__xludf.DUMMYFUNCTION("""COMPUTED_VALUE"""),354.0)</f>
        <v>354</v>
      </c>
      <c r="C40" s="8" t="str">
        <f>IFERROR(__xludf.DUMMYFUNCTION("""COMPUTED_VALUE"""),"passive")</f>
        <v>passive</v>
      </c>
      <c r="D40" s="8">
        <f>IFERROR(__xludf.DUMMYFUNCTION("""COMPUTED_VALUE"""),0.0)</f>
        <v>0</v>
      </c>
      <c r="E40" s="8" t="str">
        <f>IFERROR(__xludf.DUMMYFUNCTION("""COMPUTED_VALUE"""),"body0")</f>
        <v>body0</v>
      </c>
      <c r="F40" s="8" t="str">
        <f>IFERROR(__xludf.DUMMYFUNCTION("""COMPUTED_VALUE"""),"")</f>
        <v/>
      </c>
    </row>
    <row r="41" ht="37.5" customHeight="1">
      <c r="A41" s="8" t="str">
        <f>IFERROR(__xludf.DUMMYFUNCTION("""COMPUTED_VALUE"""),"355_momspearls.anm2")</f>
        <v>355_momspearls.anm2</v>
      </c>
      <c r="B41" s="8">
        <f>IFERROR(__xludf.DUMMYFUNCTION("""COMPUTED_VALUE"""),355.0)</f>
        <v>355</v>
      </c>
      <c r="C41" s="8" t="str">
        <f>IFERROR(__xludf.DUMMYFUNCTION("""COMPUTED_VALUE"""),"passive")</f>
        <v>passive</v>
      </c>
      <c r="D41" s="8">
        <f>IFERROR(__xludf.DUMMYFUNCTION("""COMPUTED_VALUE"""),0.0)</f>
        <v>0</v>
      </c>
      <c r="E41" s="8" t="str">
        <f>IFERROR(__xludf.DUMMYFUNCTION("""COMPUTED_VALUE"""),"body0")</f>
        <v>body0</v>
      </c>
      <c r="F41" s="8" t="str">
        <f>IFERROR(__xludf.DUMMYFUNCTION("""COMPUTED_VALUE"""),"")</f>
        <v/>
      </c>
    </row>
    <row r="42" ht="37.5" customHeight="1">
      <c r="A42" s="8" t="str">
        <f>IFERROR(__xludf.DUMMYFUNCTION("""COMPUTED_VALUE"""),"370_mrdolly.anm2")</f>
        <v>370_mrdolly.anm2</v>
      </c>
      <c r="B42" s="8">
        <f>IFERROR(__xludf.DUMMYFUNCTION("""COMPUTED_VALUE"""),370.0)</f>
        <v>370</v>
      </c>
      <c r="C42" s="8" t="str">
        <f>IFERROR(__xludf.DUMMYFUNCTION("""COMPUTED_VALUE"""),"passive")</f>
        <v>passive</v>
      </c>
      <c r="D42" s="8">
        <f>IFERROR(__xludf.DUMMYFUNCTION("""COMPUTED_VALUE"""),0.0)</f>
        <v>0</v>
      </c>
      <c r="E42" s="8" t="str">
        <f>IFERROR(__xludf.DUMMYFUNCTION("""COMPUTED_VALUE"""),"body0")</f>
        <v>body0</v>
      </c>
      <c r="F42" s="8" t="str">
        <f>IFERROR(__xludf.DUMMYFUNCTION("""COMPUTED_VALUE"""),"")</f>
        <v/>
      </c>
    </row>
    <row r="43" ht="37.5" customHeight="1">
      <c r="A43" s="8" t="str">
        <f>IFERROR(__xludf.DUMMYFUNCTION("""COMPUTED_VALUE"""),"378_no2.anm2")</f>
        <v>378_no2.anm2</v>
      </c>
      <c r="B43" s="8">
        <f>IFERROR(__xludf.DUMMYFUNCTION("""COMPUTED_VALUE"""),378.0)</f>
        <v>378</v>
      </c>
      <c r="C43" s="8" t="str">
        <f>IFERROR(__xludf.DUMMYFUNCTION("""COMPUTED_VALUE"""),"passive")</f>
        <v>passive</v>
      </c>
      <c r="D43" s="8">
        <f>IFERROR(__xludf.DUMMYFUNCTION("""COMPUTED_VALUE"""),0.0)</f>
        <v>0</v>
      </c>
      <c r="E43" s="8" t="str">
        <f>IFERROR(__xludf.DUMMYFUNCTION("""COMPUTED_VALUE"""),"body0")</f>
        <v>body0</v>
      </c>
      <c r="F43" s="8" t="str">
        <f>IFERROR(__xludf.DUMMYFUNCTION("""COMPUTED_VALUE"""),"")</f>
        <v/>
      </c>
    </row>
    <row r="44" ht="37.5" customHeight="1">
      <c r="A44" s="8" t="str">
        <f>IFERROR(__xludf.DUMMYFUNCTION("""COMPUTED_VALUE"""),"420_blackpowder.anm2")</f>
        <v>420_blackpowder.anm2</v>
      </c>
      <c r="B44" s="8">
        <f>IFERROR(__xludf.DUMMYFUNCTION("""COMPUTED_VALUE"""),420.0)</f>
        <v>420</v>
      </c>
      <c r="C44" s="8" t="str">
        <f>IFERROR(__xludf.DUMMYFUNCTION("""COMPUTED_VALUE"""),"passive")</f>
        <v>passive</v>
      </c>
      <c r="D44" s="8">
        <f>IFERROR(__xludf.DUMMYFUNCTION("""COMPUTED_VALUE"""),0.0)</f>
        <v>0</v>
      </c>
      <c r="E44" s="8" t="str">
        <f>IFERROR(__xludf.DUMMYFUNCTION("""COMPUTED_VALUE"""),"body0")</f>
        <v>body0</v>
      </c>
      <c r="F44" s="8" t="str">
        <f>IFERROR(__xludf.DUMMYFUNCTION("""COMPUTED_VALUE"""),"")</f>
        <v/>
      </c>
    </row>
    <row r="45" ht="37.5" customHeight="1">
      <c r="A45" s="8" t="str">
        <f>IFERROR(__xludf.DUMMYFUNCTION("""COMPUTED_VALUE"""),"447_lingerbean.anm2")</f>
        <v>447_lingerbean.anm2</v>
      </c>
      <c r="B45" s="8">
        <f>IFERROR(__xludf.DUMMYFUNCTION("""COMPUTED_VALUE"""),447.0)</f>
        <v>447</v>
      </c>
      <c r="C45" s="8" t="str">
        <f>IFERROR(__xludf.DUMMYFUNCTION("""COMPUTED_VALUE"""),"passive")</f>
        <v>passive</v>
      </c>
      <c r="D45" s="8">
        <f>IFERROR(__xludf.DUMMYFUNCTION("""COMPUTED_VALUE"""),0.0)</f>
        <v>0</v>
      </c>
      <c r="E45" s="8" t="str">
        <f>IFERROR(__xludf.DUMMYFUNCTION("""COMPUTED_VALUE"""),"body0")</f>
        <v>body0</v>
      </c>
      <c r="F45" s="8" t="str">
        <f>IFERROR(__xludf.DUMMYFUNCTION("""COMPUTED_VALUE"""),"")</f>
        <v/>
      </c>
    </row>
    <row r="46" ht="37.5" customHeight="1">
      <c r="A46" s="8" t="str">
        <f>IFERROR(__xludf.DUMMYFUNCTION("""COMPUTED_VALUE"""),"451_tarotcloth.anm2")</f>
        <v>451_tarotcloth.anm2</v>
      </c>
      <c r="B46" s="8">
        <f>IFERROR(__xludf.DUMMYFUNCTION("""COMPUTED_VALUE"""),451.0)</f>
        <v>451</v>
      </c>
      <c r="C46" s="8" t="str">
        <f>IFERROR(__xludf.DUMMYFUNCTION("""COMPUTED_VALUE"""),"passive")</f>
        <v>passive</v>
      </c>
      <c r="D46" s="8">
        <f>IFERROR(__xludf.DUMMYFUNCTION("""COMPUTED_VALUE"""),0.0)</f>
        <v>0</v>
      </c>
      <c r="E46" s="8" t="str">
        <f>IFERROR(__xludf.DUMMYFUNCTION("""COMPUTED_VALUE"""),"body0")</f>
        <v>body0</v>
      </c>
      <c r="F46" s="8" t="str">
        <f>IFERROR(__xludf.DUMMYFUNCTION("""COMPUTED_VALUE"""),"")</f>
        <v/>
      </c>
    </row>
    <row r="47" ht="37.5" customHeight="1">
      <c r="A47" s="8" t="str">
        <f>IFERROR(__xludf.DUMMYFUNCTION("""COMPUTED_VALUE"""),"452_varicoseveins.anm2")</f>
        <v>452_varicoseveins.anm2</v>
      </c>
      <c r="B47" s="8">
        <f>IFERROR(__xludf.DUMMYFUNCTION("""COMPUTED_VALUE"""),452.0)</f>
        <v>452</v>
      </c>
      <c r="C47" s="8" t="str">
        <f>IFERROR(__xludf.DUMMYFUNCTION("""COMPUTED_VALUE"""),"passive")</f>
        <v>passive</v>
      </c>
      <c r="D47" s="8">
        <f>IFERROR(__xludf.DUMMYFUNCTION("""COMPUTED_VALUE"""),0.0)</f>
        <v>0</v>
      </c>
      <c r="E47" s="8" t="str">
        <f>IFERROR(__xludf.DUMMYFUNCTION("""COMPUTED_VALUE"""),"body0")</f>
        <v>body0</v>
      </c>
      <c r="F47" s="8" t="str">
        <f>IFERROR(__xludf.DUMMYFUNCTION("""COMPUTED_VALUE"""),"")</f>
        <v/>
      </c>
    </row>
    <row r="48" ht="37.5" customHeight="1">
      <c r="A48" s="8" t="str">
        <f>IFERROR(__xludf.DUMMYFUNCTION("""COMPUTED_VALUE"""),"458_bellybutton.anm2")</f>
        <v>458_bellybutton.anm2</v>
      </c>
      <c r="B48" s="8">
        <f>IFERROR(__xludf.DUMMYFUNCTION("""COMPUTED_VALUE"""),458.0)</f>
        <v>458</v>
      </c>
      <c r="C48" s="8" t="str">
        <f>IFERROR(__xludf.DUMMYFUNCTION("""COMPUTED_VALUE"""),"passive")</f>
        <v>passive</v>
      </c>
      <c r="D48" s="8">
        <f>IFERROR(__xludf.DUMMYFUNCTION("""COMPUTED_VALUE"""),0.0)</f>
        <v>0</v>
      </c>
      <c r="E48" s="8" t="str">
        <f>IFERROR(__xludf.DUMMYFUNCTION("""COMPUTED_VALUE"""),"body0")</f>
        <v>body0</v>
      </c>
      <c r="F48" s="8" t="str">
        <f>IFERROR(__xludf.DUMMYFUNCTION("""COMPUTED_VALUE"""),"")</f>
        <v/>
      </c>
    </row>
    <row r="49" ht="37.5" customHeight="1">
      <c r="A49" s="8" t="str">
        <f>IFERROR(__xludf.DUMMYFUNCTION("""COMPUTED_VALUE"""),"497_camoundies.anm2")</f>
        <v>497_camoundies.anm2</v>
      </c>
      <c r="B49" s="8">
        <f>IFERROR(__xludf.DUMMYFUNCTION("""COMPUTED_VALUE"""),497.0)</f>
        <v>497</v>
      </c>
      <c r="C49" s="8" t="str">
        <f>IFERROR(__xludf.DUMMYFUNCTION("""COMPUTED_VALUE"""),"passive")</f>
        <v>passive</v>
      </c>
      <c r="D49" s="8">
        <f>IFERROR(__xludf.DUMMYFUNCTION("""COMPUTED_VALUE"""),0.0)</f>
        <v>0</v>
      </c>
      <c r="E49" s="8" t="str">
        <f>IFERROR(__xludf.DUMMYFUNCTION("""COMPUTED_VALUE"""),"body0")</f>
        <v>body0</v>
      </c>
      <c r="F49" s="8" t="str">
        <f>IFERROR(__xludf.DUMMYFUNCTION("""COMPUTED_VALUE"""),"")</f>
        <v/>
      </c>
    </row>
    <row r="50" ht="37.5" customHeight="1">
      <c r="A50" s="8" t="str">
        <f>IFERROR(__xludf.DUMMYFUNCTION("""COMPUTED_VALUE"""),"517_fastbombs.anm2")</f>
        <v>517_fastbombs.anm2</v>
      </c>
      <c r="B50" s="8">
        <f>IFERROR(__xludf.DUMMYFUNCTION("""COMPUTED_VALUE"""),517.0)</f>
        <v>517</v>
      </c>
      <c r="C50" s="8" t="str">
        <f>IFERROR(__xludf.DUMMYFUNCTION("""COMPUTED_VALUE"""),"passive")</f>
        <v>passive</v>
      </c>
      <c r="D50" s="8">
        <f>IFERROR(__xludf.DUMMYFUNCTION("""COMPUTED_VALUE"""),0.0)</f>
        <v>0</v>
      </c>
      <c r="E50" s="8" t="str">
        <f>IFERROR(__xludf.DUMMYFUNCTION("""COMPUTED_VALUE"""),"body0")</f>
        <v>body0</v>
      </c>
      <c r="F50" s="8" t="str">
        <f>IFERROR(__xludf.DUMMYFUNCTION("""COMPUTED_VALUE"""),"")</f>
        <v/>
      </c>
    </row>
    <row r="51" ht="37.5" customHeight="1">
      <c r="A51" s="8" t="str">
        <f>IFERROR(__xludf.DUMMYFUNCTION("""COMPUTED_VALUE"""),"530_deathslist.anm2")</f>
        <v>530_deathslist.anm2</v>
      </c>
      <c r="B51" s="8">
        <f>IFERROR(__xludf.DUMMYFUNCTION("""COMPUTED_VALUE"""),530.0)</f>
        <v>530</v>
      </c>
      <c r="C51" s="8" t="str">
        <f>IFERROR(__xludf.DUMMYFUNCTION("""COMPUTED_VALUE"""),"passive")</f>
        <v>passive</v>
      </c>
      <c r="D51" s="8">
        <f>IFERROR(__xludf.DUMMYFUNCTION("""COMPUTED_VALUE"""),0.0)</f>
        <v>0</v>
      </c>
      <c r="E51" s="8" t="str">
        <f>IFERROR(__xludf.DUMMYFUNCTION("""COMPUTED_VALUE"""),"body0")</f>
        <v>body0</v>
      </c>
      <c r="F51" s="8" t="str">
        <f>IFERROR(__xludf.DUMMYFUNCTION("""COMPUTED_VALUE"""),"")</f>
        <v/>
      </c>
    </row>
    <row r="52" ht="37.5" customHeight="1">
      <c r="A52" s="8" t="str">
        <f>IFERROR(__xludf.DUMMYFUNCTION("""COMPUTED_VALUE"""),"535_blanket.anm2")</f>
        <v>535_blanket.anm2</v>
      </c>
      <c r="B52" s="8">
        <f>IFERROR(__xludf.DUMMYFUNCTION("""COMPUTED_VALUE"""),535.0)</f>
        <v>535</v>
      </c>
      <c r="C52" s="8" t="str">
        <f>IFERROR(__xludf.DUMMYFUNCTION("""COMPUTED_VALUE"""),"passive")</f>
        <v>passive</v>
      </c>
      <c r="D52" s="8">
        <f>IFERROR(__xludf.DUMMYFUNCTION("""COMPUTED_VALUE"""),0.0)</f>
        <v>0</v>
      </c>
      <c r="E52" s="8" t="str">
        <f>IFERROR(__xludf.DUMMYFUNCTION("""COMPUTED_VALUE"""),"body0")</f>
        <v>body0</v>
      </c>
      <c r="F52" s="8" t="str">
        <f>IFERROR(__xludf.DUMMYFUNCTION("""COMPUTED_VALUE"""),"")</f>
        <v/>
      </c>
    </row>
    <row r="53" ht="37.5" customHeight="1">
      <c r="A53" s="8" t="str">
        <f>IFERROR(__xludf.DUMMYFUNCTION("""COMPUTED_VALUE"""),"546_dadsring.anm2")</f>
        <v>546_dadsring.anm2</v>
      </c>
      <c r="B53" s="8">
        <f>IFERROR(__xludf.DUMMYFUNCTION("""COMPUTED_VALUE"""),546.0)</f>
        <v>546</v>
      </c>
      <c r="C53" s="8" t="str">
        <f>IFERROR(__xludf.DUMMYFUNCTION("""COMPUTED_VALUE"""),"passive")</f>
        <v>passive</v>
      </c>
      <c r="D53" s="8">
        <f>IFERROR(__xludf.DUMMYFUNCTION("""COMPUTED_VALUE"""),0.0)</f>
        <v>0</v>
      </c>
      <c r="E53" s="8" t="str">
        <f>IFERROR(__xludf.DUMMYFUNCTION("""COMPUTED_VALUE"""),"body0")</f>
        <v>body0</v>
      </c>
      <c r="F53" s="8" t="str">
        <f>IFERROR(__xludf.DUMMYFUNCTION("""COMPUTED_VALUE"""),"")</f>
        <v/>
      </c>
    </row>
    <row r="54" ht="37.5" customHeight="1">
      <c r="A54" s="8" t="str">
        <f>IFERROR(__xludf.DUMMYFUNCTION("""COMPUTED_VALUE"""),"018x_socks.anm2")</f>
        <v>018x_socks.anm2</v>
      </c>
      <c r="B54" s="8">
        <f>IFERROR(__xludf.DUMMYFUNCTION("""COMPUTED_VALUE"""),571.0)</f>
        <v>571</v>
      </c>
      <c r="C54" s="8" t="str">
        <f>IFERROR(__xludf.DUMMYFUNCTION("""COMPUTED_VALUE"""),"passive")</f>
        <v>passive</v>
      </c>
      <c r="D54" s="8">
        <f>IFERROR(__xludf.DUMMYFUNCTION("""COMPUTED_VALUE"""),0.0)</f>
        <v>0</v>
      </c>
      <c r="E54" s="8" t="str">
        <f>IFERROR(__xludf.DUMMYFUNCTION("""COMPUTED_VALUE"""),"body0")</f>
        <v>body0</v>
      </c>
      <c r="F54" s="8" t="str">
        <f>IFERROR(__xludf.DUMMYFUNCTION("""COMPUTED_VALUE"""),"")</f>
        <v/>
      </c>
    </row>
    <row r="55" ht="37.5" customHeight="1">
      <c r="A55" s="8" t="str">
        <f>IFERROR(__xludf.DUMMYFUNCTION("""COMPUTED_VALUE"""),"023x_dirtymind.anm2")</f>
        <v>023x_dirtymind.anm2</v>
      </c>
      <c r="B55" s="8">
        <f>IFERROR(__xludf.DUMMYFUNCTION("""COMPUTED_VALUE"""),576.0)</f>
        <v>576</v>
      </c>
      <c r="C55" s="8" t="str">
        <f>IFERROR(__xludf.DUMMYFUNCTION("""COMPUTED_VALUE"""),"passive")</f>
        <v>passive</v>
      </c>
      <c r="D55" s="8">
        <f>IFERROR(__xludf.DUMMYFUNCTION("""COMPUTED_VALUE"""),1.0)</f>
        <v>1</v>
      </c>
      <c r="E55" s="8" t="str">
        <f>IFERROR(__xludf.DUMMYFUNCTION("""COMPUTED_VALUE"""),"body0")</f>
        <v>body0</v>
      </c>
      <c r="F55" s="8" t="str">
        <f>IFERROR(__xludf.DUMMYFUNCTION("""COMPUTED_VALUE"""),"")</f>
        <v/>
      </c>
    </row>
    <row r="56" ht="37.5" customHeight="1">
      <c r="A56" s="8" t="str">
        <f>IFERROR(__xludf.DUMMYFUNCTION("""COMPUTED_VALUE"""),"048x_actofcontrition.anm2")</f>
        <v>048x_actofcontrition.anm2</v>
      </c>
      <c r="B56" s="8">
        <f>IFERROR(__xludf.DUMMYFUNCTION("""COMPUTED_VALUE"""),601.0)</f>
        <v>601</v>
      </c>
      <c r="C56" s="8" t="str">
        <f>IFERROR(__xludf.DUMMYFUNCTION("""COMPUTED_VALUE"""),"passive")</f>
        <v>passive</v>
      </c>
      <c r="D56" s="8">
        <f>IFERROR(__xludf.DUMMYFUNCTION("""COMPUTED_VALUE"""),0.0)</f>
        <v>0</v>
      </c>
      <c r="E56" s="8" t="str">
        <f>IFERROR(__xludf.DUMMYFUNCTION("""COMPUTED_VALUE"""),"body0")</f>
        <v>body0</v>
      </c>
      <c r="F56" s="8" t="str">
        <f>IFERROR(__xludf.DUMMYFUNCTION("""COMPUTED_VALUE"""),"")</f>
        <v/>
      </c>
    </row>
    <row r="57" ht="37.5" customHeight="1">
      <c r="A57" s="8" t="str">
        <f>IFERROR(__xludf.DUMMYFUNCTION("""COMPUTED_VALUE"""),"049x_membercard.anm2")</f>
        <v>049x_membercard.anm2</v>
      </c>
      <c r="B57" s="8">
        <f>IFERROR(__xludf.DUMMYFUNCTION("""COMPUTED_VALUE"""),602.0)</f>
        <v>602</v>
      </c>
      <c r="C57" s="8" t="str">
        <f>IFERROR(__xludf.DUMMYFUNCTION("""COMPUTED_VALUE"""),"passive")</f>
        <v>passive</v>
      </c>
      <c r="D57" s="8">
        <f>IFERROR(__xludf.DUMMYFUNCTION("""COMPUTED_VALUE"""),0.0)</f>
        <v>0</v>
      </c>
      <c r="E57" s="8" t="str">
        <f>IFERROR(__xludf.DUMMYFUNCTION("""COMPUTED_VALUE"""),"body0")</f>
        <v>body0</v>
      </c>
      <c r="F57" s="8" t="str">
        <f>IFERROR(__xludf.DUMMYFUNCTION("""COMPUTED_VALUE"""),"")</f>
        <v/>
      </c>
    </row>
    <row r="58" ht="37.5" customHeight="1">
      <c r="A58" s="8" t="str">
        <f>IFERROR(__xludf.DUMMYFUNCTION("""COMPUTED_VALUE"""),"061x_bloodbombs.anm2")</f>
        <v>061x_bloodbombs.anm2</v>
      </c>
      <c r="B58" s="8">
        <f>IFERROR(__xludf.DUMMYFUNCTION("""COMPUTED_VALUE"""),614.0)</f>
        <v>614</v>
      </c>
      <c r="C58" s="8" t="str">
        <f>IFERROR(__xludf.DUMMYFUNCTION("""COMPUTED_VALUE"""),"passive")</f>
        <v>passive</v>
      </c>
      <c r="D58" s="8">
        <f>IFERROR(__xludf.DUMMYFUNCTION("""COMPUTED_VALUE"""),0.0)</f>
        <v>0</v>
      </c>
      <c r="E58" s="8" t="str">
        <f>IFERROR(__xludf.DUMMYFUNCTION("""COMPUTED_VALUE"""),"body0")</f>
        <v>body0</v>
      </c>
      <c r="F58" s="8" t="str">
        <f>IFERROR(__xludf.DUMMYFUNCTION("""COMPUTED_VALUE"""),"")</f>
        <v/>
      </c>
    </row>
    <row r="59" ht="37.5" customHeight="1">
      <c r="A59" s="8" t="str">
        <f>IFERROR(__xludf.DUMMYFUNCTION("""COMPUTED_VALUE"""),"079x_evilcharm.anm2")</f>
        <v>079x_evilcharm.anm2</v>
      </c>
      <c r="B59" s="8">
        <f>IFERROR(__xludf.DUMMYFUNCTION("""COMPUTED_VALUE"""),632.0)</f>
        <v>632</v>
      </c>
      <c r="C59" s="8" t="str">
        <f>IFERROR(__xludf.DUMMYFUNCTION("""COMPUTED_VALUE"""),"passive")</f>
        <v>passive</v>
      </c>
      <c r="D59" s="8">
        <f>IFERROR(__xludf.DUMMYFUNCTION("""COMPUTED_VALUE"""),0.0)</f>
        <v>0</v>
      </c>
      <c r="E59" s="8" t="str">
        <f>IFERROR(__xludf.DUMMYFUNCTION("""COMPUTED_VALUE"""),"body0")</f>
        <v>body0</v>
      </c>
      <c r="F59" s="8" t="str">
        <f>IFERROR(__xludf.DUMMYFUNCTION("""COMPUTED_VALUE"""),"")</f>
        <v/>
      </c>
    </row>
    <row r="60" ht="37.5" customHeight="1">
      <c r="A60" s="8" t="str">
        <f>IFERROR(__xludf.DUMMYFUNCTION("""COMPUTED_VALUE"""),"088x_akeldama.anm2")</f>
        <v>088x_akeldama.anm2</v>
      </c>
      <c r="B60" s="8">
        <f>IFERROR(__xludf.DUMMYFUNCTION("""COMPUTED_VALUE"""),641.0)</f>
        <v>641</v>
      </c>
      <c r="C60" s="8" t="str">
        <f>IFERROR(__xludf.DUMMYFUNCTION("""COMPUTED_VALUE"""),"passive")</f>
        <v>passive</v>
      </c>
      <c r="D60" s="8">
        <f>IFERROR(__xludf.DUMMYFUNCTION("""COMPUTED_VALUE"""),0.0)</f>
        <v>0</v>
      </c>
      <c r="E60" s="8" t="str">
        <f>IFERROR(__xludf.DUMMYFUNCTION("""COMPUTED_VALUE"""),"body0")</f>
        <v>body0</v>
      </c>
      <c r="F60" s="8" t="str">
        <f>IFERROR(__xludf.DUMMYFUNCTION("""COMPUTED_VALUE"""),"")</f>
        <v/>
      </c>
    </row>
    <row r="61" ht="37.5" customHeight="1">
      <c r="A61" s="8" t="str">
        <f>IFERROR(__xludf.DUMMYFUNCTION("""COMPUTED_VALUE"""),"091x_consolationprize.anm2")</f>
        <v>091x_consolationprize.anm2</v>
      </c>
      <c r="B61" s="8">
        <f>IFERROR(__xludf.DUMMYFUNCTION("""COMPUTED_VALUE"""),644.0)</f>
        <v>644</v>
      </c>
      <c r="C61" s="8" t="str">
        <f>IFERROR(__xludf.DUMMYFUNCTION("""COMPUTED_VALUE"""),"passive")</f>
        <v>passive</v>
      </c>
      <c r="D61" s="8">
        <f>IFERROR(__xludf.DUMMYFUNCTION("""COMPUTED_VALUE"""),0.0)</f>
        <v>0</v>
      </c>
      <c r="E61" s="8" t="str">
        <f>IFERROR(__xludf.DUMMYFUNCTION("""COMPUTED_VALUE"""),"body0")</f>
        <v>body0</v>
      </c>
      <c r="F61" s="8" t="str">
        <f>IFERROR(__xludf.DUMMYFUNCTION("""COMPUTED_VALUE"""),"")</f>
        <v/>
      </c>
    </row>
    <row r="62" ht="37.5" customHeight="1">
      <c r="A62" s="8" t="str">
        <f>IFERROR(__xludf.DUMMYFUNCTION("""COMPUTED_VALUE"""),"662_pacifist.anm2")</f>
        <v>662_pacifist.anm2</v>
      </c>
      <c r="B62" s="8">
        <f>IFERROR(__xludf.DUMMYFUNCTION("""COMPUTED_VALUE"""),662.0)</f>
        <v>662</v>
      </c>
      <c r="C62" s="8" t="str">
        <f>IFERROR(__xludf.DUMMYFUNCTION("""COMPUTED_VALUE"""),"passive")</f>
        <v>passive</v>
      </c>
      <c r="D62" s="8">
        <f>IFERROR(__xludf.DUMMYFUNCTION("""COMPUTED_VALUE"""),0.0)</f>
        <v>0</v>
      </c>
      <c r="E62" s="8" t="str">
        <f>IFERROR(__xludf.DUMMYFUNCTION("""COMPUTED_VALUE"""),"body0")</f>
        <v>body0</v>
      </c>
      <c r="F62" s="8" t="str">
        <f>IFERROR(__xludf.DUMMYFUNCTION("""COMPUTED_VALUE"""),"")</f>
        <v/>
      </c>
    </row>
    <row r="63" ht="37.5" customHeight="1">
      <c r="A63" s="8" t="str">
        <f>IFERROR(__xludf.DUMMYFUNCTION("""COMPUTED_VALUE"""),"672_poundofflesh.anm2")</f>
        <v>672_poundofflesh.anm2</v>
      </c>
      <c r="B63" s="8">
        <f>IFERROR(__xludf.DUMMYFUNCTION("""COMPUTED_VALUE"""),672.0)</f>
        <v>672</v>
      </c>
      <c r="C63" s="8" t="str">
        <f>IFERROR(__xludf.DUMMYFUNCTION("""COMPUTED_VALUE"""),"passive")</f>
        <v>passive</v>
      </c>
      <c r="D63" s="8">
        <f>IFERROR(__xludf.DUMMYFUNCTION("""COMPUTED_VALUE"""),0.0)</f>
        <v>0</v>
      </c>
      <c r="E63" s="8" t="str">
        <f>IFERROR(__xludf.DUMMYFUNCTION("""COMPUTED_VALUE"""),"body0")</f>
        <v>body0</v>
      </c>
      <c r="F63" s="8" t="str">
        <f>IFERROR(__xludf.DUMMYFUNCTION("""COMPUTED_VALUE"""),"")</f>
        <v/>
      </c>
    </row>
    <row r="64" ht="37.5" customHeight="1">
      <c r="A64" s="8" t="str">
        <f>IFERROR(__xludf.DUMMYFUNCTION("""COMPUTED_VALUE"""),"674_spiritshackles2.anm2")</f>
        <v>674_spiritshackles2.anm2</v>
      </c>
      <c r="B64" s="8">
        <f>IFERROR(__xludf.DUMMYFUNCTION("""COMPUTED_VALUE"""),674.0)</f>
        <v>674</v>
      </c>
      <c r="C64" s="8" t="str">
        <f>IFERROR(__xludf.DUMMYFUNCTION("""COMPUTED_VALUE"""),"passive")</f>
        <v>passive</v>
      </c>
      <c r="D64" s="8">
        <f>IFERROR(__xludf.DUMMYFUNCTION("""COMPUTED_VALUE"""),10.0)</f>
        <v>10</v>
      </c>
      <c r="E64" s="8" t="str">
        <f>IFERROR(__xludf.DUMMYFUNCTION("""COMPUTED_VALUE"""),"body0")</f>
        <v>body0</v>
      </c>
      <c r="F64" s="8" t="str">
        <f>IFERROR(__xludf.DUMMYFUNCTION("""COMPUTED_VALUE"""),"")</f>
        <v/>
      </c>
    </row>
    <row r="65" ht="37.5" customHeight="1">
      <c r="A65" s="8" t="str">
        <f>IFERROR(__xludf.DUMMYFUNCTION("""COMPUTED_VALUE"""),"680_montezuma.anm2")</f>
        <v>680_montezuma.anm2</v>
      </c>
      <c r="B65" s="8">
        <f>IFERROR(__xludf.DUMMYFUNCTION("""COMPUTED_VALUE"""),680.0)</f>
        <v>680</v>
      </c>
      <c r="C65" s="8" t="str">
        <f>IFERROR(__xludf.DUMMYFUNCTION("""COMPUTED_VALUE"""),"passive")</f>
        <v>passive</v>
      </c>
      <c r="D65" s="8">
        <f>IFERROR(__xludf.DUMMYFUNCTION("""COMPUTED_VALUE"""),0.0)</f>
        <v>0</v>
      </c>
      <c r="E65" s="8" t="str">
        <f>IFERROR(__xludf.DUMMYFUNCTION("""COMPUTED_VALUE"""),"body0")</f>
        <v>body0</v>
      </c>
      <c r="F65" s="8" t="str">
        <f>IFERROR(__xludf.DUMMYFUNCTION("""COMPUTED_VALUE"""),"")</f>
        <v/>
      </c>
    </row>
    <row r="66" ht="37.5" customHeight="1">
      <c r="A66" s="8" t="str">
        <f>IFERROR(__xludf.DUMMYFUNCTION("""COMPUTED_VALUE"""),"686_soullocket.anm2")</f>
        <v>686_soullocket.anm2</v>
      </c>
      <c r="B66" s="8">
        <f>IFERROR(__xludf.DUMMYFUNCTION("""COMPUTED_VALUE"""),686.0)</f>
        <v>686</v>
      </c>
      <c r="C66" s="8" t="str">
        <f>IFERROR(__xludf.DUMMYFUNCTION("""COMPUTED_VALUE"""),"passive")</f>
        <v>passive</v>
      </c>
      <c r="D66" s="8">
        <f>IFERROR(__xludf.DUMMYFUNCTION("""COMPUTED_VALUE"""),0.0)</f>
        <v>0</v>
      </c>
      <c r="E66" s="8" t="str">
        <f>IFERROR(__xludf.DUMMYFUNCTION("""COMPUTED_VALUE"""),"body0")</f>
        <v>body0</v>
      </c>
      <c r="F66" s="8" t="str">
        <f>IFERROR(__xludf.DUMMYFUNCTION("""COMPUTED_VALUE"""),"")</f>
        <v/>
      </c>
    </row>
  </sheetData>
  <customSheetViews>
    <customSheetView guid="{B07D8034-17A6-4979-AD0A-EDA5D4406C74}" filter="1" showAutoFilter="1">
      <autoFilter ref="$A$1:$F$42"/>
    </customSheetView>
  </customSheetView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5.13"/>
    <col customWidth="1" min="3" max="3" width="7.25"/>
    <col customWidth="1" min="4" max="4" width="9.38"/>
    <col customWidth="1" min="5" max="5" width="8.0"/>
    <col customWidth="1" min="6" max="6" width="25.13"/>
  </cols>
  <sheetData>
    <row r="1" ht="37.5" customHeight="1">
      <c r="A1" s="7" t="s">
        <v>0</v>
      </c>
      <c r="B1" s="7" t="s">
        <v>1</v>
      </c>
      <c r="C1" s="7" t="s">
        <v>2</v>
      </c>
      <c r="D1" s="7" t="s">
        <v>3</v>
      </c>
      <c r="E1" s="7" t="s">
        <v>4</v>
      </c>
      <c r="F1" s="7" t="s">
        <v>5</v>
      </c>
    </row>
    <row r="2" ht="37.5" customHeight="1">
      <c r="A2" s="8" t="str">
        <f>IFERROR(__xludf.DUMMYFUNCTION("FILTER('All Costumes'!A2:F645, 'All Costumes'!E2:E645=""body1"")"),"210_gnawedleaf_statue.anm2")</f>
        <v>210_gnawedleaf_statue.anm2</v>
      </c>
      <c r="B2" s="8">
        <f>IFERROR(__xludf.DUMMYFUNCTION("""COMPUTED_VALUE"""),4.0)</f>
        <v>4</v>
      </c>
      <c r="C2" s="8" t="str">
        <f>IFERROR(__xludf.DUMMYFUNCTION("""COMPUTED_VALUE"""),"none")</f>
        <v>none</v>
      </c>
      <c r="D2" s="8">
        <f>IFERROR(__xludf.DUMMYFUNCTION("""COMPUTED_VALUE"""),50.0)</f>
        <v>50</v>
      </c>
      <c r="E2" s="8" t="str">
        <f>IFERROR(__xludf.DUMMYFUNCTION("""COMPUTED_VALUE"""),"body1")</f>
        <v>body1</v>
      </c>
      <c r="F2" s="8" t="str">
        <f>IFERROR(__xludf.DUMMYFUNCTION("""COMPUTED_VALUE"""),"")</f>
        <v/>
      </c>
    </row>
    <row r="3" ht="37.5" customHeight="1">
      <c r="A3" s="8" t="str">
        <f>IFERROR(__xludf.DUMMYFUNCTION("""COMPUTED_VALUE"""),"020_transcendence.anm2")</f>
        <v>020_transcendence.anm2</v>
      </c>
      <c r="B3" s="8">
        <f>IFERROR(__xludf.DUMMYFUNCTION("""COMPUTED_VALUE"""),20.0)</f>
        <v>20</v>
      </c>
      <c r="C3" s="8" t="str">
        <f>IFERROR(__xludf.DUMMYFUNCTION("""COMPUTED_VALUE"""),"passive")</f>
        <v>passive</v>
      </c>
      <c r="D3" s="8">
        <f>IFERROR(__xludf.DUMMYFUNCTION("""COMPUTED_VALUE"""),100.0)</f>
        <v>100</v>
      </c>
      <c r="E3" s="8" t="str">
        <f>IFERROR(__xludf.DUMMYFUNCTION("""COMPUTED_VALUE"""),"body1")</f>
        <v>body1</v>
      </c>
      <c r="F3" s="8" t="str">
        <f>IFERROR(__xludf.DUMMYFUNCTION("""COMPUTED_VALUE"""),"")</f>
        <v/>
      </c>
    </row>
    <row r="4" ht="37.5" customHeight="1">
      <c r="A4" s="8" t="str">
        <f>IFERROR(__xludf.DUMMYFUNCTION("""COMPUTED_VALUE"""),"040_kamikaze.anm2")</f>
        <v>040_kamikaze.anm2</v>
      </c>
      <c r="B4" s="8">
        <f>IFERROR(__xludf.DUMMYFUNCTION("""COMPUTED_VALUE"""),40.0)</f>
        <v>40</v>
      </c>
      <c r="C4" s="8" t="str">
        <f>IFERROR(__xludf.DUMMYFUNCTION("""COMPUTED_VALUE"""),"passive")</f>
        <v>passive</v>
      </c>
      <c r="D4" s="8">
        <f>IFERROR(__xludf.DUMMYFUNCTION("""COMPUTED_VALUE"""),0.0)</f>
        <v>0</v>
      </c>
      <c r="E4" s="8" t="str">
        <f>IFERROR(__xludf.DUMMYFUNCTION("""COMPUTED_VALUE"""),"body1")</f>
        <v>body1</v>
      </c>
      <c r="F4" s="8" t="str">
        <f>IFERROR(__xludf.DUMMYFUNCTION("""COMPUTED_VALUE"""),"")</f>
        <v/>
      </c>
    </row>
    <row r="5" ht="37.5" customHeight="1">
      <c r="A5" s="8" t="str">
        <f>IFERROR(__xludf.DUMMYFUNCTION("""COMPUTED_VALUE"""),"663_toothandnail_statue.anm2")</f>
        <v>663_toothandnail_statue.anm2</v>
      </c>
      <c r="B5" s="8">
        <f>IFERROR(__xludf.DUMMYFUNCTION("""COMPUTED_VALUE"""),59.0)</f>
        <v>59</v>
      </c>
      <c r="C5" s="8" t="str">
        <f>IFERROR(__xludf.DUMMYFUNCTION("""COMPUTED_VALUE"""),"none")</f>
        <v>none</v>
      </c>
      <c r="D5" s="8">
        <f>IFERROR(__xludf.DUMMYFUNCTION("""COMPUTED_VALUE"""),51.0)</f>
        <v>51</v>
      </c>
      <c r="E5" s="8" t="str">
        <f>IFERROR(__xludf.DUMMYFUNCTION("""COMPUTED_VALUE"""),"body1")</f>
        <v>body1</v>
      </c>
      <c r="F5" s="8" t="str">
        <f>IFERROR(__xludf.DUMMYFUNCTION("""COMPUTED_VALUE"""),"")</f>
        <v/>
      </c>
    </row>
    <row r="6" ht="37.5" customHeight="1">
      <c r="A6" s="8" t="str">
        <f>IFERROR(__xludf.DUMMYFUNCTION("""COMPUTED_VALUE"""),"n_reverse_chariot.anm2")</f>
        <v>n_reverse_chariot.anm2</v>
      </c>
      <c r="B6" s="8">
        <f>IFERROR(__xludf.DUMMYFUNCTION("""COMPUTED_VALUE"""),63.0)</f>
        <v>63</v>
      </c>
      <c r="C6" s="8" t="str">
        <f>IFERROR(__xludf.DUMMYFUNCTION("""COMPUTED_VALUE"""),"none")</f>
        <v>none</v>
      </c>
      <c r="D6" s="8">
        <f>IFERROR(__xludf.DUMMYFUNCTION("""COMPUTED_VALUE"""),51.0)</f>
        <v>51</v>
      </c>
      <c r="E6" s="8" t="str">
        <f>IFERROR(__xludf.DUMMYFUNCTION("""COMPUTED_VALUE"""),"body1")</f>
        <v>body1</v>
      </c>
      <c r="F6" s="8" t="str">
        <f>IFERROR(__xludf.DUMMYFUNCTION("""COMPUTED_VALUE"""),"")</f>
        <v/>
      </c>
    </row>
    <row r="7" ht="37.5" customHeight="1">
      <c r="A7" s="8" t="str">
        <f>IFERROR(__xludf.DUMMYFUNCTION("""COMPUTED_VALUE"""),"n_reverse_chariot_alt.anm2")</f>
        <v>n_reverse_chariot_alt.anm2</v>
      </c>
      <c r="B7" s="8">
        <f>IFERROR(__xludf.DUMMYFUNCTION("""COMPUTED_VALUE"""),68.0)</f>
        <v>68</v>
      </c>
      <c r="C7" s="8" t="str">
        <f>IFERROR(__xludf.DUMMYFUNCTION("""COMPUTED_VALUE"""),"none")</f>
        <v>none</v>
      </c>
      <c r="D7" s="8">
        <f>IFERROR(__xludf.DUMMYFUNCTION("""COMPUTED_VALUE"""),51.0)</f>
        <v>51</v>
      </c>
      <c r="E7" s="8" t="str">
        <f>IFERROR(__xludf.DUMMYFUNCTION("""COMPUTED_VALUE"""),"body1")</f>
        <v>body1</v>
      </c>
      <c r="F7" s="8" t="str">
        <f>IFERROR(__xludf.DUMMYFUNCTION("""COMPUTED_VALUE"""),"")</f>
        <v/>
      </c>
    </row>
    <row r="8" ht="37.5" customHeight="1">
      <c r="A8" s="8" t="str">
        <f>IFERROR(__xludf.DUMMYFUNCTION("""COMPUTED_VALUE"""),"072_rosary.anm2")</f>
        <v>072_rosary.anm2</v>
      </c>
      <c r="B8" s="8">
        <f>IFERROR(__xludf.DUMMYFUNCTION("""COMPUTED_VALUE"""),72.0)</f>
        <v>72</v>
      </c>
      <c r="C8" s="8" t="str">
        <f>IFERROR(__xludf.DUMMYFUNCTION("""COMPUTED_VALUE"""),"passive")</f>
        <v>passive</v>
      </c>
      <c r="D8" s="8">
        <f>IFERROR(__xludf.DUMMYFUNCTION("""COMPUTED_VALUE"""),0.0)</f>
        <v>0</v>
      </c>
      <c r="E8" s="8" t="str">
        <f>IFERROR(__xludf.DUMMYFUNCTION("""COMPUTED_VALUE"""),"body1")</f>
        <v>body1</v>
      </c>
      <c r="F8" s="8" t="str">
        <f>IFERROR(__xludf.DUMMYFUNCTION("""COMPUTED_VALUE"""),"")</f>
        <v/>
      </c>
    </row>
    <row r="9" ht="37.5" customHeight="1">
      <c r="A9" s="8" t="str">
        <f>IFERROR(__xludf.DUMMYFUNCTION("""COMPUTED_VALUE"""),"086_monstrostooth.anm2")</f>
        <v>086_monstrostooth.anm2</v>
      </c>
      <c r="B9" s="8">
        <f>IFERROR(__xludf.DUMMYFUNCTION("""COMPUTED_VALUE"""),86.0)</f>
        <v>86</v>
      </c>
      <c r="C9" s="8" t="str">
        <f>IFERROR(__xludf.DUMMYFUNCTION("""COMPUTED_VALUE"""),"active")</f>
        <v>active</v>
      </c>
      <c r="D9" s="8">
        <f>IFERROR(__xludf.DUMMYFUNCTION("""COMPUTED_VALUE"""),0.0)</f>
        <v>0</v>
      </c>
      <c r="E9" s="8" t="str">
        <f>IFERROR(__xludf.DUMMYFUNCTION("""COMPUTED_VALUE"""),"body1")</f>
        <v>body1</v>
      </c>
      <c r="F9" s="8" t="str">
        <f>IFERROR(__xludf.DUMMYFUNCTION("""COMPUTED_VALUE"""),"")</f>
        <v/>
      </c>
    </row>
    <row r="10" ht="37.5" customHeight="1">
      <c r="A10" s="8" t="str">
        <f>IFERROR(__xludf.DUMMYFUNCTION("""COMPUTED_VALUE"""),"139_moms purse.anm2")</f>
        <v>139_moms purse.anm2</v>
      </c>
      <c r="B10" s="8">
        <f>IFERROR(__xludf.DUMMYFUNCTION("""COMPUTED_VALUE"""),139.0)</f>
        <v>139</v>
      </c>
      <c r="C10" s="8" t="str">
        <f>IFERROR(__xludf.DUMMYFUNCTION("""COMPUTED_VALUE"""),"passive")</f>
        <v>passive</v>
      </c>
      <c r="D10" s="8">
        <f>IFERROR(__xludf.DUMMYFUNCTION("""COMPUTED_VALUE"""),0.0)</f>
        <v>0</v>
      </c>
      <c r="E10" s="8" t="str">
        <f>IFERROR(__xludf.DUMMYFUNCTION("""COMPUTED_VALUE"""),"body1")</f>
        <v>body1</v>
      </c>
      <c r="F10" s="8" t="str">
        <f>IFERROR(__xludf.DUMMYFUNCTION("""COMPUTED_VALUE"""),"")</f>
        <v/>
      </c>
    </row>
    <row r="11" ht="37.5" customHeight="1">
      <c r="A11" s="8" t="str">
        <f>IFERROR(__xludf.DUMMYFUNCTION("""COMPUTED_VALUE"""),"161_ankh.anm2")</f>
        <v>161_ankh.anm2</v>
      </c>
      <c r="B11" s="8">
        <f>IFERROR(__xludf.DUMMYFUNCTION("""COMPUTED_VALUE"""),161.0)</f>
        <v>161</v>
      </c>
      <c r="C11" s="8" t="str">
        <f>IFERROR(__xludf.DUMMYFUNCTION("""COMPUTED_VALUE"""),"passive")</f>
        <v>passive</v>
      </c>
      <c r="D11" s="8">
        <f>IFERROR(__xludf.DUMMYFUNCTION("""COMPUTED_VALUE"""),0.0)</f>
        <v>0</v>
      </c>
      <c r="E11" s="8" t="str">
        <f>IFERROR(__xludf.DUMMYFUNCTION("""COMPUTED_VALUE"""),"body1")</f>
        <v>body1</v>
      </c>
      <c r="F11" s="8" t="str">
        <f>IFERROR(__xludf.DUMMYFUNCTION("""COMPUTED_VALUE"""),"")</f>
        <v/>
      </c>
    </row>
    <row r="12" ht="37.5" customHeight="1">
      <c r="A12" s="8" t="str">
        <f>IFERROR(__xludf.DUMMYFUNCTION("""COMPUTED_VALUE"""),"199_moms key.anm2")</f>
        <v>199_moms key.anm2</v>
      </c>
      <c r="B12" s="8">
        <f>IFERROR(__xludf.DUMMYFUNCTION("""COMPUTED_VALUE"""),199.0)</f>
        <v>199</v>
      </c>
      <c r="C12" s="8" t="str">
        <f>IFERROR(__xludf.DUMMYFUNCTION("""COMPUTED_VALUE"""),"passive")</f>
        <v>passive</v>
      </c>
      <c r="D12" s="8">
        <f>IFERROR(__xludf.DUMMYFUNCTION("""COMPUTED_VALUE"""),0.0)</f>
        <v>0</v>
      </c>
      <c r="E12" s="8" t="str">
        <f>IFERROR(__xludf.DUMMYFUNCTION("""COMPUTED_VALUE"""),"body1")</f>
        <v>body1</v>
      </c>
      <c r="F12" s="8" t="str">
        <f>IFERROR(__xludf.DUMMYFUNCTION("""COMPUTED_VALUE"""),"")</f>
        <v/>
      </c>
    </row>
    <row r="13" ht="37.5" customHeight="1">
      <c r="A13" s="8" t="str">
        <f>IFERROR(__xludf.DUMMYFUNCTION("""COMPUTED_VALUE"""),"313_holymantle.anm2")</f>
        <v>313_holymantle.anm2</v>
      </c>
      <c r="B13" s="8">
        <f>IFERROR(__xludf.DUMMYFUNCTION("""COMPUTED_VALUE"""),313.0)</f>
        <v>313</v>
      </c>
      <c r="C13" s="8" t="str">
        <f>IFERROR(__xludf.DUMMYFUNCTION("""COMPUTED_VALUE"""),"passive")</f>
        <v>passive</v>
      </c>
      <c r="D13" s="8">
        <f>IFERROR(__xludf.DUMMYFUNCTION("""COMPUTED_VALUE"""),0.0)</f>
        <v>0</v>
      </c>
      <c r="E13" s="8" t="str">
        <f>IFERROR(__xludf.DUMMYFUNCTION("""COMPUTED_VALUE"""),"body1")</f>
        <v>body1</v>
      </c>
      <c r="F13" s="8" t="str">
        <f>IFERROR(__xludf.DUMMYFUNCTION("""COMPUTED_VALUE"""),"")</f>
        <v/>
      </c>
    </row>
    <row r="14" ht="37.5" customHeight="1">
      <c r="A14" s="8" t="str">
        <f>IFERROR(__xludf.DUMMYFUNCTION("""COMPUTED_VALUE"""),"408_athame.anm2")</f>
        <v>408_athame.anm2</v>
      </c>
      <c r="B14" s="8">
        <f>IFERROR(__xludf.DUMMYFUNCTION("""COMPUTED_VALUE"""),408.0)</f>
        <v>408</v>
      </c>
      <c r="C14" s="8" t="str">
        <f>IFERROR(__xludf.DUMMYFUNCTION("""COMPUTED_VALUE"""),"passive")</f>
        <v>passive</v>
      </c>
      <c r="D14" s="8">
        <f>IFERROR(__xludf.DUMMYFUNCTION("""COMPUTED_VALUE"""),0.0)</f>
        <v>0</v>
      </c>
      <c r="E14" s="8" t="str">
        <f>IFERROR(__xludf.DUMMYFUNCTION("""COMPUTED_VALUE"""),"body1")</f>
        <v>body1</v>
      </c>
      <c r="F14" s="8" t="str">
        <f>IFERROR(__xludf.DUMMYFUNCTION("""COMPUTED_VALUE"""),"")</f>
        <v/>
      </c>
    </row>
    <row r="15" ht="37.5" customHeight="1">
      <c r="A15" s="8" t="str">
        <f>IFERROR(__xludf.DUMMYFUNCTION("""COMPUTED_VALUE"""),"409_emptyvessel.anm2")</f>
        <v>409_emptyvessel.anm2</v>
      </c>
      <c r="B15" s="8">
        <f>IFERROR(__xludf.DUMMYFUNCTION("""COMPUTED_VALUE"""),409.0)</f>
        <v>409</v>
      </c>
      <c r="C15" s="8" t="str">
        <f>IFERROR(__xludf.DUMMYFUNCTION("""COMPUTED_VALUE"""),"passive")</f>
        <v>passive</v>
      </c>
      <c r="D15" s="8">
        <f>IFERROR(__xludf.DUMMYFUNCTION("""COMPUTED_VALUE"""),0.0)</f>
        <v>0</v>
      </c>
      <c r="E15" s="8" t="str">
        <f>IFERROR(__xludf.DUMMYFUNCTION("""COMPUTED_VALUE"""),"body1")</f>
        <v>body1</v>
      </c>
      <c r="F15" s="8" t="str">
        <f>IFERROR(__xludf.DUMMYFUNCTION("""COMPUTED_VALUE"""),"")</f>
        <v/>
      </c>
    </row>
    <row r="16" ht="37.5" customHeight="1">
      <c r="A16" s="8" t="str">
        <f>IFERROR(__xludf.DUMMYFUNCTION("""COMPUTED_VALUE"""),"425_nightlight.anm2")</f>
        <v>425_nightlight.anm2</v>
      </c>
      <c r="B16" s="8">
        <f>IFERROR(__xludf.DUMMYFUNCTION("""COMPUTED_VALUE"""),425.0)</f>
        <v>425</v>
      </c>
      <c r="C16" s="8" t="str">
        <f>IFERROR(__xludf.DUMMYFUNCTION("""COMPUTED_VALUE"""),"passive")</f>
        <v>passive</v>
      </c>
      <c r="D16" s="8">
        <f>IFERROR(__xludf.DUMMYFUNCTION("""COMPUTED_VALUE"""),0.0)</f>
        <v>0</v>
      </c>
      <c r="E16" s="8" t="str">
        <f>IFERROR(__xludf.DUMMYFUNCTION("""COMPUTED_VALUE"""),"body1")</f>
        <v>body1</v>
      </c>
      <c r="F16" s="8" t="str">
        <f>IFERROR(__xludf.DUMMYFUNCTION("""COMPUTED_VALUE"""),"")</f>
        <v/>
      </c>
    </row>
    <row r="17" ht="37.5" customHeight="1">
      <c r="A17" s="8" t="str">
        <f>IFERROR(__xludf.DUMMYFUNCTION("""COMPUTED_VALUE"""),"501_greedsgullet.anm2")</f>
        <v>501_greedsgullet.anm2</v>
      </c>
      <c r="B17" s="8">
        <f>IFERROR(__xludf.DUMMYFUNCTION("""COMPUTED_VALUE"""),501.0)</f>
        <v>501</v>
      </c>
      <c r="C17" s="8" t="str">
        <f>IFERROR(__xludf.DUMMYFUNCTION("""COMPUTED_VALUE"""),"passive")</f>
        <v>passive</v>
      </c>
      <c r="D17" s="8">
        <f>IFERROR(__xludf.DUMMYFUNCTION("""COMPUTED_VALUE"""),0.0)</f>
        <v>0</v>
      </c>
      <c r="E17" s="8" t="str">
        <f>IFERROR(__xludf.DUMMYFUNCTION("""COMPUTED_VALUE"""),"body1")</f>
        <v>body1</v>
      </c>
      <c r="F17" s="8" t="str">
        <f>IFERROR(__xludf.DUMMYFUNCTION("""COMPUTED_VALUE"""),"")</f>
        <v/>
      </c>
    </row>
  </sheetData>
  <customSheetViews>
    <customSheetView guid="{B07D8034-17A6-4979-AD0A-EDA5D4406C74}" filter="1" showAutoFilter="1">
      <autoFilter ref="$A$1:$F$17"/>
    </customSheetView>
  </customSheetView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5.13"/>
    <col customWidth="1" min="3" max="3" width="7.25"/>
    <col customWidth="1" min="4" max="4" width="9.38"/>
    <col customWidth="1" min="5" max="5" width="8.0"/>
    <col customWidth="1" min="6" max="6" width="25.13"/>
  </cols>
  <sheetData>
    <row r="1" ht="37.5" customHeight="1">
      <c r="A1" s="10" t="s">
        <v>0</v>
      </c>
      <c r="B1" s="10" t="s">
        <v>1</v>
      </c>
      <c r="C1" s="10" t="s">
        <v>2</v>
      </c>
      <c r="D1" s="10" t="s">
        <v>3</v>
      </c>
      <c r="E1" s="10" t="s">
        <v>4</v>
      </c>
      <c r="F1" s="10" t="s">
        <v>5</v>
      </c>
    </row>
    <row r="2" ht="37.5" customHeight="1">
      <c r="A2" s="8" t="str">
        <f>IFERROR(__xludf.DUMMYFUNCTION("FILTER('All Costumes'!A2:F645, 'All Costumes'!E2:E645=""head"")"),"003_spoon bender.anm2")</f>
        <v>003_spoon bender.anm2</v>
      </c>
      <c r="B2" s="8">
        <f>IFERROR(__xludf.DUMMYFUNCTION("""COMPUTED_VALUE"""),3.0)</f>
        <v>3</v>
      </c>
      <c r="C2" s="8" t="str">
        <f>IFERROR(__xludf.DUMMYFUNCTION("""COMPUTED_VALUE"""),"passive")</f>
        <v>passive</v>
      </c>
      <c r="D2" s="8">
        <f>IFERROR(__xludf.DUMMYFUNCTION("""COMPUTED_VALUE"""),0.0)</f>
        <v>0</v>
      </c>
      <c r="E2" s="8" t="str">
        <f>IFERROR(__xludf.DUMMYFUNCTION("""COMPUTED_VALUE"""),"head")</f>
        <v>head</v>
      </c>
      <c r="F2" s="8" t="str">
        <f>IFERROR(__xludf.DUMMYFUNCTION("""COMPUTED_VALUE"""),"")</f>
        <v/>
      </c>
    </row>
    <row r="3" ht="37.5" customHeight="1">
      <c r="A3" s="8" t="str">
        <f>IFERROR(__xludf.DUMMYFUNCTION("""COMPUTED_VALUE"""),"263_lordoftheflies.anm2")</f>
        <v>263_lordoftheflies.anm2</v>
      </c>
      <c r="B3" s="8">
        <f>IFERROR(__xludf.DUMMYFUNCTION("""COMPUTED_VALUE"""),3.0)</f>
        <v>3</v>
      </c>
      <c r="C3" s="8" t="str">
        <f>IFERROR(__xludf.DUMMYFUNCTION("""COMPUTED_VALUE"""),"none")</f>
        <v>none</v>
      </c>
      <c r="D3" s="8">
        <f>IFERROR(__xludf.DUMMYFUNCTION("""COMPUTED_VALUE"""),0.0)</f>
        <v>0</v>
      </c>
      <c r="E3" s="8" t="str">
        <f>IFERROR(__xludf.DUMMYFUNCTION("""COMPUTED_VALUE"""),"head")</f>
        <v>head</v>
      </c>
      <c r="F3" s="8" t="str">
        <f>IFERROR(__xludf.DUMMYFUNCTION("""COMPUTED_VALUE"""),"")</f>
        <v/>
      </c>
    </row>
    <row r="4" ht="37.5" customHeight="1">
      <c r="A4" s="8" t="str">
        <f>IFERROR(__xludf.DUMMYFUNCTION("""COMPUTED_VALUE"""),"004_maxs head.anm2")</f>
        <v>004_maxs head.anm2</v>
      </c>
      <c r="B4" s="8">
        <f>IFERROR(__xludf.DUMMYFUNCTION("""COMPUTED_VALUE"""),4.0)</f>
        <v>4</v>
      </c>
      <c r="C4" s="8" t="str">
        <f>IFERROR(__xludf.DUMMYFUNCTION("""COMPUTED_VALUE"""),"passive")</f>
        <v>passive</v>
      </c>
      <c r="D4" s="8">
        <f>IFERROR(__xludf.DUMMYFUNCTION("""COMPUTED_VALUE"""),0.0)</f>
        <v>0</v>
      </c>
      <c r="E4" s="8" t="str">
        <f>IFERROR(__xludf.DUMMYFUNCTION("""COMPUTED_VALUE"""),"head")</f>
        <v>head</v>
      </c>
      <c r="F4" s="8" t="str">
        <f>IFERROR(__xludf.DUMMYFUNCTION("""COMPUTED_VALUE"""),"")</f>
        <v/>
      </c>
    </row>
    <row r="5" ht="37.5" customHeight="1">
      <c r="A5" s="8" t="str">
        <f>IFERROR(__xludf.DUMMYFUNCTION("""COMPUTED_VALUE"""),"210_gnawedleaf_statue.anm2")</f>
        <v>210_gnawedleaf_statue.anm2</v>
      </c>
      <c r="B5" s="8">
        <f>IFERROR(__xludf.DUMMYFUNCTION("""COMPUTED_VALUE"""),4.0)</f>
        <v>4</v>
      </c>
      <c r="C5" s="8" t="str">
        <f>IFERROR(__xludf.DUMMYFUNCTION("""COMPUTED_VALUE"""),"none")</f>
        <v>none</v>
      </c>
      <c r="D5" s="8">
        <f>IFERROR(__xludf.DUMMYFUNCTION("""COMPUTED_VALUE"""),50.0)</f>
        <v>50</v>
      </c>
      <c r="E5" s="8" t="str">
        <f>IFERROR(__xludf.DUMMYFUNCTION("""COMPUTED_VALUE"""),"head")</f>
        <v>head</v>
      </c>
      <c r="F5" s="8" t="str">
        <f>IFERROR(__xludf.DUMMYFUNCTION("""COMPUTED_VALUE"""),"")</f>
        <v/>
      </c>
    </row>
    <row r="6" ht="37.5" customHeight="1">
      <c r="A6" s="8" t="str">
        <f>IFERROR(__xludf.DUMMYFUNCTION("""COMPUTED_VALUE"""),"n005_guppy.anm2")</f>
        <v>n005_guppy.anm2</v>
      </c>
      <c r="B6" s="8">
        <f>IFERROR(__xludf.DUMMYFUNCTION("""COMPUTED_VALUE"""),5.0)</f>
        <v>5</v>
      </c>
      <c r="C6" s="8" t="str">
        <f>IFERROR(__xludf.DUMMYFUNCTION("""COMPUTED_VALUE"""),"none")</f>
        <v>none</v>
      </c>
      <c r="D6" s="8">
        <f>IFERROR(__xludf.DUMMYFUNCTION("""COMPUTED_VALUE"""),0.0)</f>
        <v>0</v>
      </c>
      <c r="E6" s="8" t="str">
        <f>IFERROR(__xludf.DUMMYFUNCTION("""COMPUTED_VALUE"""),"head")</f>
        <v>head</v>
      </c>
      <c r="F6" s="8" t="str">
        <f>IFERROR(__xludf.DUMMYFUNCTION("""COMPUTED_VALUE"""),"")</f>
        <v/>
      </c>
    </row>
    <row r="7" ht="37.5" customHeight="1">
      <c r="A7" s="8" t="str">
        <f>IFERROR(__xludf.DUMMYFUNCTION("""COMPUTED_VALUE"""),"006_number one.anm2")</f>
        <v>006_number one.anm2</v>
      </c>
      <c r="B7" s="8">
        <f>IFERROR(__xludf.DUMMYFUNCTION("""COMPUTED_VALUE"""),6.0)</f>
        <v>6</v>
      </c>
      <c r="C7" s="8" t="str">
        <f>IFERROR(__xludf.DUMMYFUNCTION("""COMPUTED_VALUE"""),"passive")</f>
        <v>passive</v>
      </c>
      <c r="D7" s="8">
        <f>IFERROR(__xludf.DUMMYFUNCTION("""COMPUTED_VALUE"""),0.0)</f>
        <v>0</v>
      </c>
      <c r="E7" s="8" t="str">
        <f>IFERROR(__xludf.DUMMYFUNCTION("""COMPUTED_VALUE"""),"head")</f>
        <v>head</v>
      </c>
      <c r="F7" s="8" t="str">
        <f>IFERROR(__xludf.DUMMYFUNCTION("""COMPUTED_VALUE"""),"")</f>
        <v/>
      </c>
    </row>
    <row r="8" ht="37.5" customHeight="1">
      <c r="A8" s="8" t="str">
        <f>IFERROR(__xludf.DUMMYFUNCTION("""COMPUTED_VALUE"""),"n006_ruawizard.anm2")</f>
        <v>n006_ruawizard.anm2</v>
      </c>
      <c r="B8" s="8">
        <f>IFERROR(__xludf.DUMMYFUNCTION("""COMPUTED_VALUE"""),6.0)</f>
        <v>6</v>
      </c>
      <c r="C8" s="8" t="str">
        <f>IFERROR(__xludf.DUMMYFUNCTION("""COMPUTED_VALUE"""),"none")</f>
        <v>none</v>
      </c>
      <c r="D8" s="8">
        <f>IFERROR(__xludf.DUMMYFUNCTION("""COMPUTED_VALUE"""),0.0)</f>
        <v>0</v>
      </c>
      <c r="E8" s="8" t="str">
        <f>IFERROR(__xludf.DUMMYFUNCTION("""COMPUTED_VALUE"""),"head")</f>
        <v>head</v>
      </c>
      <c r="F8" s="8" t="str">
        <f>IFERROR(__xludf.DUMMYFUNCTION("""COMPUTED_VALUE"""),"")</f>
        <v/>
      </c>
    </row>
    <row r="9" ht="37.5" customHeight="1">
      <c r="A9" s="8" t="str">
        <f>IFERROR(__xludf.DUMMYFUNCTION("""COMPUTED_VALUE"""),"013_the virus.anm2")</f>
        <v>013_the virus.anm2</v>
      </c>
      <c r="B9" s="8">
        <f>IFERROR(__xludf.DUMMYFUNCTION("""COMPUTED_VALUE"""),13.0)</f>
        <v>13</v>
      </c>
      <c r="C9" s="8" t="str">
        <f>IFERROR(__xludf.DUMMYFUNCTION("""COMPUTED_VALUE"""),"passive")</f>
        <v>passive</v>
      </c>
      <c r="D9" s="8">
        <f>IFERROR(__xludf.DUMMYFUNCTION("""COMPUTED_VALUE"""),0.0)</f>
        <v>0</v>
      </c>
      <c r="E9" s="8" t="str">
        <f>IFERROR(__xludf.DUMMYFUNCTION("""COMPUTED_VALUE"""),"head")</f>
        <v>head</v>
      </c>
      <c r="F9" s="8" t="str">
        <f>IFERROR(__xludf.DUMMYFUNCTION("""COMPUTED_VALUE"""),"")</f>
        <v/>
      </c>
    </row>
    <row r="10" ht="37.5" customHeight="1">
      <c r="A10" s="8" t="str">
        <f>IFERROR(__xludf.DUMMYFUNCTION("""COMPUTED_VALUE"""),"014_roid rage.anm2")</f>
        <v>014_roid rage.anm2</v>
      </c>
      <c r="B10" s="8">
        <f>IFERROR(__xludf.DUMMYFUNCTION("""COMPUTED_VALUE"""),14.0)</f>
        <v>14</v>
      </c>
      <c r="C10" s="8" t="str">
        <f>IFERROR(__xludf.DUMMYFUNCTION("""COMPUTED_VALUE"""),"passive")</f>
        <v>passive</v>
      </c>
      <c r="D10" s="8">
        <f>IFERROR(__xludf.DUMMYFUNCTION("""COMPUTED_VALUE"""),0.0)</f>
        <v>0</v>
      </c>
      <c r="E10" s="8" t="str">
        <f>IFERROR(__xludf.DUMMYFUNCTION("""COMPUTED_VALUE"""),"head")</f>
        <v>head</v>
      </c>
      <c r="F10" s="8" t="str">
        <f>IFERROR(__xludf.DUMMYFUNCTION("""COMPUTED_VALUE"""),"")</f>
        <v/>
      </c>
    </row>
    <row r="11" ht="37.5" customHeight="1">
      <c r="A11" s="8" t="str">
        <f>IFERROR(__xludf.DUMMYFUNCTION("""COMPUTED_VALUE"""),"n015_blank.anm2")</f>
        <v>n015_blank.anm2</v>
      </c>
      <c r="B11" s="8">
        <f>IFERROR(__xludf.DUMMYFUNCTION("""COMPUTED_VALUE"""),15.0)</f>
        <v>15</v>
      </c>
      <c r="C11" s="8" t="str">
        <f>IFERROR(__xludf.DUMMYFUNCTION("""COMPUTED_VALUE"""),"none")</f>
        <v>none</v>
      </c>
      <c r="D11" s="8">
        <f>IFERROR(__xludf.DUMMYFUNCTION("""COMPUTED_VALUE"""),100.0)</f>
        <v>100</v>
      </c>
      <c r="E11" s="8" t="str">
        <f>IFERROR(__xludf.DUMMYFUNCTION("""COMPUTED_VALUE"""),"head")</f>
        <v>head</v>
      </c>
      <c r="F11" s="8" t="str">
        <f>IFERROR(__xludf.DUMMYFUNCTION("""COMPUTED_VALUE"""),"")</f>
        <v/>
      </c>
    </row>
    <row r="12" ht="37.5" customHeight="1">
      <c r="A12" s="8" t="str">
        <f>IFERROR(__xludf.DUMMYFUNCTION("""COMPUTED_VALUE"""),"n018_empty vessel.anm2")</f>
        <v>n018_empty vessel.anm2</v>
      </c>
      <c r="B12" s="8">
        <f>IFERROR(__xludf.DUMMYFUNCTION("""COMPUTED_VALUE"""),18.0)</f>
        <v>18</v>
      </c>
      <c r="C12" s="8" t="str">
        <f>IFERROR(__xludf.DUMMYFUNCTION("""COMPUTED_VALUE"""),"none")</f>
        <v>none</v>
      </c>
      <c r="D12" s="8">
        <f>IFERROR(__xludf.DUMMYFUNCTION("""COMPUTED_VALUE"""),0.0)</f>
        <v>0</v>
      </c>
      <c r="E12" s="8" t="str">
        <f>IFERROR(__xludf.DUMMYFUNCTION("""COMPUTED_VALUE"""),"head")</f>
        <v>head</v>
      </c>
      <c r="F12" s="8" t="str">
        <f>IFERROR(__xludf.DUMMYFUNCTION("""COMPUTED_VALUE"""),"")</f>
        <v/>
      </c>
    </row>
    <row r="13" ht="37.5" customHeight="1">
      <c r="A13" s="8" t="str">
        <f>IFERROR(__xludf.DUMMYFUNCTION("""COMPUTED_VALUE"""),"n020_transformation mushroom.anm2")</f>
        <v>n020_transformation mushroom.anm2</v>
      </c>
      <c r="B13" s="8">
        <f>IFERROR(__xludf.DUMMYFUNCTION("""COMPUTED_VALUE"""),20.0)</f>
        <v>20</v>
      </c>
      <c r="C13" s="8" t="str">
        <f>IFERROR(__xludf.DUMMYFUNCTION("""COMPUTED_VALUE"""),"none")</f>
        <v>none</v>
      </c>
      <c r="D13" s="8">
        <f>IFERROR(__xludf.DUMMYFUNCTION("""COMPUTED_VALUE"""),19.0)</f>
        <v>19</v>
      </c>
      <c r="E13" s="8" t="str">
        <f>IFERROR(__xludf.DUMMYFUNCTION("""COMPUTED_VALUE"""),"head")</f>
        <v>head</v>
      </c>
      <c r="F13" s="8" t="str">
        <f>IFERROR(__xludf.DUMMYFUNCTION("""COMPUTED_VALUE"""),"")</f>
        <v/>
      </c>
    </row>
    <row r="14" ht="37.5" customHeight="1">
      <c r="A14" s="8" t="str">
        <f>IFERROR(__xludf.DUMMYFUNCTION("""COMPUTED_VALUE"""),"n021_transformation_angel.anm2")</f>
        <v>n021_transformation_angel.anm2</v>
      </c>
      <c r="B14" s="8">
        <f>IFERROR(__xludf.DUMMYFUNCTION("""COMPUTED_VALUE"""),21.0)</f>
        <v>21</v>
      </c>
      <c r="C14" s="8" t="str">
        <f>IFERROR(__xludf.DUMMYFUNCTION("""COMPUTED_VALUE"""),"none")</f>
        <v>none</v>
      </c>
      <c r="D14" s="8">
        <f>IFERROR(__xludf.DUMMYFUNCTION("""COMPUTED_VALUE"""),19.0)</f>
        <v>19</v>
      </c>
      <c r="E14" s="8" t="str">
        <f>IFERROR(__xludf.DUMMYFUNCTION("""COMPUTED_VALUE"""),"head")</f>
        <v>head</v>
      </c>
      <c r="F14" s="8" t="str">
        <f>IFERROR(__xludf.DUMMYFUNCTION("""COMPUTED_VALUE"""),"")</f>
        <v/>
      </c>
    </row>
    <row r="15" ht="37.5" customHeight="1">
      <c r="A15" s="8" t="str">
        <f>IFERROR(__xludf.DUMMYFUNCTION("""COMPUTED_VALUE"""),"n022_transformation_bob.anm2")</f>
        <v>n022_transformation_bob.anm2</v>
      </c>
      <c r="B15" s="8">
        <f>IFERROR(__xludf.DUMMYFUNCTION("""COMPUTED_VALUE"""),22.0)</f>
        <v>22</v>
      </c>
      <c r="C15" s="8" t="str">
        <f>IFERROR(__xludf.DUMMYFUNCTION("""COMPUTED_VALUE"""),"none")</f>
        <v>none</v>
      </c>
      <c r="D15" s="8">
        <f>IFERROR(__xludf.DUMMYFUNCTION("""COMPUTED_VALUE"""),19.0)</f>
        <v>19</v>
      </c>
      <c r="E15" s="8" t="str">
        <f>IFERROR(__xludf.DUMMYFUNCTION("""COMPUTED_VALUE"""),"head")</f>
        <v>head</v>
      </c>
      <c r="F15" s="8" t="str">
        <f>IFERROR(__xludf.DUMMYFUNCTION("""COMPUTED_VALUE"""),"")</f>
        <v/>
      </c>
    </row>
    <row r="16" ht="37.5" customHeight="1">
      <c r="A16" s="8" t="str">
        <f>IFERROR(__xludf.DUMMYFUNCTION("""COMPUTED_VALUE"""),"n023_transformation_drugs.anm2")</f>
        <v>n023_transformation_drugs.anm2</v>
      </c>
      <c r="B16" s="8">
        <f>IFERROR(__xludf.DUMMYFUNCTION("""COMPUTED_VALUE"""),23.0)</f>
        <v>23</v>
      </c>
      <c r="C16" s="8" t="str">
        <f>IFERROR(__xludf.DUMMYFUNCTION("""COMPUTED_VALUE"""),"none")</f>
        <v>none</v>
      </c>
      <c r="D16" s="8">
        <f>IFERROR(__xludf.DUMMYFUNCTION("""COMPUTED_VALUE"""),19.0)</f>
        <v>19</v>
      </c>
      <c r="E16" s="8" t="str">
        <f>IFERROR(__xludf.DUMMYFUNCTION("""COMPUTED_VALUE"""),"head")</f>
        <v>head</v>
      </c>
      <c r="F16" s="8" t="str">
        <f>IFERROR(__xludf.DUMMYFUNCTION("""COMPUTED_VALUE"""),"")</f>
        <v/>
      </c>
    </row>
    <row r="17" ht="37.5" customHeight="1">
      <c r="A17" s="8" t="str">
        <f>IFERROR(__xludf.DUMMYFUNCTION("""COMPUTED_VALUE"""),"n025_transformation_baby.anm2")</f>
        <v>n025_transformation_baby.anm2</v>
      </c>
      <c r="B17" s="8">
        <f>IFERROR(__xludf.DUMMYFUNCTION("""COMPUTED_VALUE"""),25.0)</f>
        <v>25</v>
      </c>
      <c r="C17" s="8" t="str">
        <f>IFERROR(__xludf.DUMMYFUNCTION("""COMPUTED_VALUE"""),"none")</f>
        <v>none</v>
      </c>
      <c r="D17" s="8">
        <f>IFERROR(__xludf.DUMMYFUNCTION("""COMPUTED_VALUE"""),19.0)</f>
        <v>19</v>
      </c>
      <c r="E17" s="8" t="str">
        <f>IFERROR(__xludf.DUMMYFUNCTION("""COMPUTED_VALUE"""),"head")</f>
        <v>head</v>
      </c>
      <c r="F17" s="8" t="str">
        <f>IFERROR(__xludf.DUMMYFUNCTION("""COMPUTED_VALUE"""),"")</f>
        <v/>
      </c>
    </row>
    <row r="18" ht="37.5" customHeight="1">
      <c r="A18" s="8" t="str">
        <f>IFERROR(__xludf.DUMMYFUNCTION("""COMPUTED_VALUE"""),"n026_transformation_evilangel.anm2")</f>
        <v>n026_transformation_evilangel.anm2</v>
      </c>
      <c r="B18" s="8">
        <f>IFERROR(__xludf.DUMMYFUNCTION("""COMPUTED_VALUE"""),26.0)</f>
        <v>26</v>
      </c>
      <c r="C18" s="8" t="str">
        <f>IFERROR(__xludf.DUMMYFUNCTION("""COMPUTED_VALUE"""),"none")</f>
        <v>none</v>
      </c>
      <c r="D18" s="8">
        <f>IFERROR(__xludf.DUMMYFUNCTION("""COMPUTED_VALUE"""),19.0)</f>
        <v>19</v>
      </c>
      <c r="E18" s="8" t="str">
        <f>IFERROR(__xludf.DUMMYFUNCTION("""COMPUTED_VALUE"""),"head")</f>
        <v>head</v>
      </c>
      <c r="F18" s="8" t="str">
        <f>IFERROR(__xludf.DUMMYFUNCTION("""COMPUTED_VALUE"""),"")</f>
        <v/>
      </c>
    </row>
    <row r="19" ht="37.5" customHeight="1">
      <c r="A19" s="8" t="str">
        <f>IFERROR(__xludf.DUMMYFUNCTION("""COMPUTED_VALUE"""),"n027_transformation_poop.anm2")</f>
        <v>n027_transformation_poop.anm2</v>
      </c>
      <c r="B19" s="8">
        <f>IFERROR(__xludf.DUMMYFUNCTION("""COMPUTED_VALUE"""),27.0)</f>
        <v>27</v>
      </c>
      <c r="C19" s="8" t="str">
        <f>IFERROR(__xludf.DUMMYFUNCTION("""COMPUTED_VALUE"""),"none")</f>
        <v>none</v>
      </c>
      <c r="D19" s="8">
        <f>IFERROR(__xludf.DUMMYFUNCTION("""COMPUTED_VALUE"""),19.0)</f>
        <v>19</v>
      </c>
      <c r="E19" s="8" t="str">
        <f>IFERROR(__xludf.DUMMYFUNCTION("""COMPUTED_VALUE"""),"head")</f>
        <v>head</v>
      </c>
      <c r="F19" s="8" t="str">
        <f>IFERROR(__xludf.DUMMYFUNCTION("""COMPUTED_VALUE"""),"")</f>
        <v/>
      </c>
    </row>
    <row r="20" ht="37.5" customHeight="1">
      <c r="A20" s="8" t="str">
        <f>IFERROR(__xludf.DUMMYFUNCTION("""COMPUTED_VALUE"""),"n029_overdose.anm2")</f>
        <v>n029_overdose.anm2</v>
      </c>
      <c r="B20" s="8">
        <f>IFERROR(__xludf.DUMMYFUNCTION("""COMPUTED_VALUE"""),29.0)</f>
        <v>29</v>
      </c>
      <c r="C20" s="8" t="str">
        <f>IFERROR(__xludf.DUMMYFUNCTION("""COMPUTED_VALUE"""),"none")</f>
        <v>none</v>
      </c>
      <c r="D20" s="8">
        <f>IFERROR(__xludf.DUMMYFUNCTION("""COMPUTED_VALUE"""),19.0)</f>
        <v>19</v>
      </c>
      <c r="E20" s="8" t="str">
        <f>IFERROR(__xludf.DUMMYFUNCTION("""COMPUTED_VALUE"""),"head")</f>
        <v>head</v>
      </c>
      <c r="F20" s="8" t="str">
        <f>IFERROR(__xludf.DUMMYFUNCTION("""COMPUTED_VALUE"""),"")</f>
        <v/>
      </c>
    </row>
    <row r="21" ht="37.5" customHeight="1">
      <c r="A21" s="8" t="str">
        <f>IFERROR(__xludf.DUMMYFUNCTION("""COMPUTED_VALUE"""),"n031_megablast.anm2")</f>
        <v>n031_megablast.anm2</v>
      </c>
      <c r="B21" s="8">
        <f>IFERROR(__xludf.DUMMYFUNCTION("""COMPUTED_VALUE"""),31.0)</f>
        <v>31</v>
      </c>
      <c r="C21" s="8" t="str">
        <f>IFERROR(__xludf.DUMMYFUNCTION("""COMPUTED_VALUE"""),"none")</f>
        <v>none</v>
      </c>
      <c r="D21" s="8">
        <f>IFERROR(__xludf.DUMMYFUNCTION("""COMPUTED_VALUE"""),100.0)</f>
        <v>100</v>
      </c>
      <c r="E21" s="8" t="str">
        <f>IFERROR(__xludf.DUMMYFUNCTION("""COMPUTED_VALUE"""),"head")</f>
        <v>head</v>
      </c>
      <c r="F21" s="8" t="str">
        <f>IFERROR(__xludf.DUMMYFUNCTION("""COMPUTED_VALUE"""),"")</f>
        <v/>
      </c>
    </row>
    <row r="22" ht="37.5" customHeight="1">
      <c r="A22" s="8" t="str">
        <f>IFERROR(__xludf.DUMMYFUNCTION("""COMPUTED_VALUE"""),"034_the book of belial.anm2")</f>
        <v>034_the book of belial.anm2</v>
      </c>
      <c r="B22" s="8">
        <f>IFERROR(__xludf.DUMMYFUNCTION("""COMPUTED_VALUE"""),34.0)</f>
        <v>34</v>
      </c>
      <c r="C22" s="8" t="str">
        <f>IFERROR(__xludf.DUMMYFUNCTION("""COMPUTED_VALUE"""),"active")</f>
        <v>active</v>
      </c>
      <c r="D22" s="8">
        <f>IFERROR(__xludf.DUMMYFUNCTION("""COMPUTED_VALUE"""),0.0)</f>
        <v>0</v>
      </c>
      <c r="E22" s="8" t="str">
        <f>IFERROR(__xludf.DUMMYFUNCTION("""COMPUTED_VALUE"""),"head")</f>
        <v>head</v>
      </c>
      <c r="F22" s="8" t="str">
        <f>IFERROR(__xludf.DUMMYFUNCTION("""COMPUTED_VALUE"""),"")</f>
        <v/>
      </c>
    </row>
    <row r="23" ht="37.5" customHeight="1">
      <c r="A23" s="8" t="str">
        <f>IFERROR(__xludf.DUMMYFUNCTION("""COMPUTED_VALUE"""),"n028_transformation_iwata.anm2")</f>
        <v>n028_transformation_iwata.anm2</v>
      </c>
      <c r="B23" s="8">
        <f>IFERROR(__xludf.DUMMYFUNCTION("""COMPUTED_VALUE"""),35.0)</f>
        <v>35</v>
      </c>
      <c r="C23" s="8" t="str">
        <f>IFERROR(__xludf.DUMMYFUNCTION("""COMPUTED_VALUE"""),"none")</f>
        <v>none</v>
      </c>
      <c r="D23" s="8">
        <f>IFERROR(__xludf.DUMMYFUNCTION("""COMPUTED_VALUE"""),100.0)</f>
        <v>100</v>
      </c>
      <c r="E23" s="8" t="str">
        <f>IFERROR(__xludf.DUMMYFUNCTION("""COMPUTED_VALUE"""),"head")</f>
        <v>head</v>
      </c>
      <c r="F23" s="8" t="str">
        <f>IFERROR(__xludf.DUMMYFUNCTION("""COMPUTED_VALUE"""),"")</f>
        <v/>
      </c>
    </row>
    <row r="24" ht="37.5" customHeight="1">
      <c r="A24" s="8" t="str">
        <f>IFERROR(__xludf.DUMMYFUNCTION("""COMPUTED_VALUE"""),"126_razor blade.anm2")</f>
        <v>126_razor blade.anm2</v>
      </c>
      <c r="B24" s="8">
        <f>IFERROR(__xludf.DUMMYFUNCTION("""COMPUTED_VALUE"""),40.0)</f>
        <v>40</v>
      </c>
      <c r="C24" s="8" t="str">
        <f>IFERROR(__xludf.DUMMYFUNCTION("""COMPUTED_VALUE"""),"trinket")</f>
        <v>trinket</v>
      </c>
      <c r="D24" s="8">
        <f>IFERROR(__xludf.DUMMYFUNCTION("""COMPUTED_VALUE"""),0.0)</f>
        <v>0</v>
      </c>
      <c r="E24" s="8" t="str">
        <f>IFERROR(__xludf.DUMMYFUNCTION("""COMPUTED_VALUE"""),"head")</f>
        <v>head</v>
      </c>
      <c r="F24" s="8" t="str">
        <f>IFERROR(__xludf.DUMMYFUNCTION("""COMPUTED_VALUE"""),"")</f>
        <v/>
      </c>
    </row>
    <row r="25" ht="37.5" customHeight="1">
      <c r="A25" s="8" t="str">
        <f>IFERROR(__xludf.DUMMYFUNCTION("""COMPUTED_VALUE"""),"n045_brimstone2.anm2")</f>
        <v>n045_brimstone2.anm2</v>
      </c>
      <c r="B25" s="8">
        <f>IFERROR(__xludf.DUMMYFUNCTION("""COMPUTED_VALUE"""),45.0)</f>
        <v>45</v>
      </c>
      <c r="C25" s="8" t="str">
        <f>IFERROR(__xludf.DUMMYFUNCTION("""COMPUTED_VALUE"""),"none")</f>
        <v>none</v>
      </c>
      <c r="D25" s="8">
        <f>IFERROR(__xludf.DUMMYFUNCTION("""COMPUTED_VALUE"""),24.0)</f>
        <v>24</v>
      </c>
      <c r="E25" s="8" t="str">
        <f>IFERROR(__xludf.DUMMYFUNCTION("""COMPUTED_VALUE"""),"head")</f>
        <v>head</v>
      </c>
      <c r="F25" s="8" t="str">
        <f>IFERROR(__xludf.DUMMYFUNCTION("""COMPUTED_VALUE"""),"")</f>
        <v/>
      </c>
    </row>
    <row r="26" ht="37.5" customHeight="1">
      <c r="A26" s="8" t="str">
        <f>IFERROR(__xludf.DUMMYFUNCTION("""COMPUTED_VALUE"""),"049_shoop da whoop.anm2")</f>
        <v>049_shoop da whoop.anm2</v>
      </c>
      <c r="B26" s="8">
        <f>IFERROR(__xludf.DUMMYFUNCTION("""COMPUTED_VALUE"""),49.0)</f>
        <v>49</v>
      </c>
      <c r="C26" s="8" t="str">
        <f>IFERROR(__xludf.DUMMYFUNCTION("""COMPUTED_VALUE"""),"active")</f>
        <v>active</v>
      </c>
      <c r="D26" s="8">
        <f>IFERROR(__xludf.DUMMYFUNCTION("""COMPUTED_VALUE"""),30.0)</f>
        <v>30</v>
      </c>
      <c r="E26" s="8" t="str">
        <f>IFERROR(__xludf.DUMMYFUNCTION("""COMPUTED_VALUE"""),"head")</f>
        <v>head</v>
      </c>
      <c r="F26" s="8" t="str">
        <f>IFERROR(__xludf.DUMMYFUNCTION("""COMPUTED_VALUE"""),"")</f>
        <v/>
      </c>
    </row>
    <row r="27" ht="37.5" customHeight="1">
      <c r="A27" s="8" t="str">
        <f>IFERROR(__xludf.DUMMYFUNCTION("""COMPUTED_VALUE"""),"055_moms eye.anm2")</f>
        <v>055_moms eye.anm2</v>
      </c>
      <c r="B27" s="8">
        <f>IFERROR(__xludf.DUMMYFUNCTION("""COMPUTED_VALUE"""),55.0)</f>
        <v>55</v>
      </c>
      <c r="C27" s="8" t="str">
        <f>IFERROR(__xludf.DUMMYFUNCTION("""COMPUTED_VALUE"""),"passive")</f>
        <v>passive</v>
      </c>
      <c r="D27" s="8">
        <f>IFERROR(__xludf.DUMMYFUNCTION("""COMPUTED_VALUE"""),0.0)</f>
        <v>0</v>
      </c>
      <c r="E27" s="8" t="str">
        <f>IFERROR(__xludf.DUMMYFUNCTION("""COMPUTED_VALUE"""),"head")</f>
        <v>head</v>
      </c>
      <c r="F27" s="8" t="str">
        <f>IFERROR(__xludf.DUMMYFUNCTION("""COMPUTED_VALUE"""),"")</f>
        <v/>
      </c>
    </row>
    <row r="28" ht="37.5" customHeight="1">
      <c r="A28" s="8" t="str">
        <f>IFERROR(__xludf.DUMMYFUNCTION("""COMPUTED_VALUE"""),"007x_ithurts2.anm2")</f>
        <v>007x_ithurts2.anm2</v>
      </c>
      <c r="B28" s="8">
        <f>IFERROR(__xludf.DUMMYFUNCTION("""COMPUTED_VALUE"""),57.0)</f>
        <v>57</v>
      </c>
      <c r="C28" s="8" t="str">
        <f>IFERROR(__xludf.DUMMYFUNCTION("""COMPUTED_VALUE"""),"none")</f>
        <v>none</v>
      </c>
      <c r="D28" s="8">
        <f>IFERROR(__xludf.DUMMYFUNCTION("""COMPUTED_VALUE"""),10.0)</f>
        <v>10</v>
      </c>
      <c r="E28" s="8" t="str">
        <f>IFERROR(__xludf.DUMMYFUNCTION("""COMPUTED_VALUE"""),"head")</f>
        <v>head</v>
      </c>
      <c r="F28" s="8" t="str">
        <f>IFERROR(__xludf.DUMMYFUNCTION("""COMPUTED_VALUE"""),"")</f>
        <v/>
      </c>
    </row>
    <row r="29" ht="37.5" customHeight="1">
      <c r="A29" s="8" t="str">
        <f>IFERROR(__xludf.DUMMYFUNCTION("""COMPUTED_VALUE"""),"663_toothandnail_statue.anm2")</f>
        <v>663_toothandnail_statue.anm2</v>
      </c>
      <c r="B29" s="8">
        <f>IFERROR(__xludf.DUMMYFUNCTION("""COMPUTED_VALUE"""),59.0)</f>
        <v>59</v>
      </c>
      <c r="C29" s="8" t="str">
        <f>IFERROR(__xludf.DUMMYFUNCTION("""COMPUTED_VALUE"""),"none")</f>
        <v>none</v>
      </c>
      <c r="D29" s="8">
        <f>IFERROR(__xludf.DUMMYFUNCTION("""COMPUTED_VALUE"""),51.0)</f>
        <v>51</v>
      </c>
      <c r="E29" s="8" t="str">
        <f>IFERROR(__xludf.DUMMYFUNCTION("""COMPUTED_VALUE"""),"head")</f>
        <v>head</v>
      </c>
      <c r="F29" s="8" t="str">
        <f>IFERROR(__xludf.DUMMYFUNCTION("""COMPUTED_VALUE"""),"")</f>
        <v/>
      </c>
    </row>
    <row r="30" ht="37.5" customHeight="1">
      <c r="A30" s="8" t="str">
        <f>IFERROR(__xludf.DUMMYFUNCTION("""COMPUTED_VALUE"""),"062_charm of the vampire.anm2")</f>
        <v>062_charm of the vampire.anm2</v>
      </c>
      <c r="B30" s="8">
        <f>IFERROR(__xludf.DUMMYFUNCTION("""COMPUTED_VALUE"""),62.0)</f>
        <v>62</v>
      </c>
      <c r="C30" s="8" t="str">
        <f>IFERROR(__xludf.DUMMYFUNCTION("""COMPUTED_VALUE"""),"passive")</f>
        <v>passive</v>
      </c>
      <c r="D30" s="8">
        <f>IFERROR(__xludf.DUMMYFUNCTION("""COMPUTED_VALUE"""),0.0)</f>
        <v>0</v>
      </c>
      <c r="E30" s="8" t="str">
        <f>IFERROR(__xludf.DUMMYFUNCTION("""COMPUTED_VALUE"""),"head")</f>
        <v>head</v>
      </c>
      <c r="F30" s="8" t="str">
        <f>IFERROR(__xludf.DUMMYFUNCTION("""COMPUTED_VALUE"""),"")</f>
        <v/>
      </c>
    </row>
    <row r="31" ht="37.5" customHeight="1">
      <c r="A31" s="8" t="str">
        <f>IFERROR(__xludf.DUMMYFUNCTION("""COMPUTED_VALUE"""),"n_reverse_chariot.anm2")</f>
        <v>n_reverse_chariot.anm2</v>
      </c>
      <c r="B31" s="8">
        <f>IFERROR(__xludf.DUMMYFUNCTION("""COMPUTED_VALUE"""),63.0)</f>
        <v>63</v>
      </c>
      <c r="C31" s="8" t="str">
        <f>IFERROR(__xludf.DUMMYFUNCTION("""COMPUTED_VALUE"""),"none")</f>
        <v>none</v>
      </c>
      <c r="D31" s="8">
        <f>IFERROR(__xludf.DUMMYFUNCTION("""COMPUTED_VALUE"""),51.0)</f>
        <v>51</v>
      </c>
      <c r="E31" s="8" t="str">
        <f>IFERROR(__xludf.DUMMYFUNCTION("""COMPUTED_VALUE"""),"head")</f>
        <v>head</v>
      </c>
      <c r="F31" s="8" t="str">
        <f>IFERROR(__xludf.DUMMYFUNCTION("""COMPUTED_VALUE"""),"")</f>
        <v/>
      </c>
    </row>
    <row r="32" ht="37.5" customHeight="1">
      <c r="A32" s="8" t="str">
        <f>IFERROR(__xludf.DUMMYFUNCTION("""COMPUTED_VALUE"""),"n_reverse_hanged_man.anm2")</f>
        <v>n_reverse_hanged_man.anm2</v>
      </c>
      <c r="B32" s="8">
        <f>IFERROR(__xludf.DUMMYFUNCTION("""COMPUTED_VALUE"""),65.0)</f>
        <v>65</v>
      </c>
      <c r="C32" s="8" t="str">
        <f>IFERROR(__xludf.DUMMYFUNCTION("""COMPUTED_VALUE"""),"none")</f>
        <v>none</v>
      </c>
      <c r="D32" s="8">
        <f>IFERROR(__xludf.DUMMYFUNCTION("""COMPUTED_VALUE"""),100.0)</f>
        <v>100</v>
      </c>
      <c r="E32" s="8" t="str">
        <f>IFERROR(__xludf.DUMMYFUNCTION("""COMPUTED_VALUE"""),"head")</f>
        <v>head</v>
      </c>
      <c r="F32" s="8" t="str">
        <f>IFERROR(__xludf.DUMMYFUNCTION("""COMPUTED_VALUE"""),"")</f>
        <v/>
      </c>
    </row>
    <row r="33" ht="37.5" customHeight="1">
      <c r="A33" s="8" t="str">
        <f>IFERROR(__xludf.DUMMYFUNCTION("""COMPUTED_VALUE"""),"068_technology.anm2")</f>
        <v>068_technology.anm2</v>
      </c>
      <c r="B33" s="8">
        <f>IFERROR(__xludf.DUMMYFUNCTION("""COMPUTED_VALUE"""),68.0)</f>
        <v>68</v>
      </c>
      <c r="C33" s="8" t="str">
        <f>IFERROR(__xludf.DUMMYFUNCTION("""COMPUTED_VALUE"""),"passive")</f>
        <v>passive</v>
      </c>
      <c r="D33" s="8">
        <f>IFERROR(__xludf.DUMMYFUNCTION("""COMPUTED_VALUE"""),22.0)</f>
        <v>22</v>
      </c>
      <c r="E33" s="8" t="str">
        <f>IFERROR(__xludf.DUMMYFUNCTION("""COMPUTED_VALUE"""),"head")</f>
        <v>head</v>
      </c>
      <c r="F33" s="8" t="str">
        <f>IFERROR(__xludf.DUMMYFUNCTION("""COMPUTED_VALUE"""),"")</f>
        <v/>
      </c>
    </row>
    <row r="34" ht="37.5" customHeight="1">
      <c r="A34" s="8" t="str">
        <f>IFERROR(__xludf.DUMMYFUNCTION("""COMPUTED_VALUE"""),"n_reverse_chariot_alt.anm2")</f>
        <v>n_reverse_chariot_alt.anm2</v>
      </c>
      <c r="B34" s="8">
        <f>IFERROR(__xludf.DUMMYFUNCTION("""COMPUTED_VALUE"""),68.0)</f>
        <v>68</v>
      </c>
      <c r="C34" s="8" t="str">
        <f>IFERROR(__xludf.DUMMYFUNCTION("""COMPUTED_VALUE"""),"none")</f>
        <v>none</v>
      </c>
      <c r="D34" s="8">
        <f>IFERROR(__xludf.DUMMYFUNCTION("""COMPUTED_VALUE"""),51.0)</f>
        <v>51</v>
      </c>
      <c r="E34" s="8" t="str">
        <f>IFERROR(__xludf.DUMMYFUNCTION("""COMPUTED_VALUE"""),"head")</f>
        <v>head</v>
      </c>
      <c r="F34" s="8" t="str">
        <f>IFERROR(__xludf.DUMMYFUNCTION("""COMPUTED_VALUE"""),"")</f>
        <v/>
      </c>
    </row>
    <row r="35" ht="37.5" customHeight="1">
      <c r="A35" s="8" t="str">
        <f>IFERROR(__xludf.DUMMYFUNCTION("""COMPUTED_VALUE"""),"069_chocolate milk.anm2")</f>
        <v>069_chocolate milk.anm2</v>
      </c>
      <c r="B35" s="8">
        <f>IFERROR(__xludf.DUMMYFUNCTION("""COMPUTED_VALUE"""),69.0)</f>
        <v>69</v>
      </c>
      <c r="C35" s="8" t="str">
        <f>IFERROR(__xludf.DUMMYFUNCTION("""COMPUTED_VALUE"""),"passive")</f>
        <v>passive</v>
      </c>
      <c r="D35" s="8">
        <f>IFERROR(__xludf.DUMMYFUNCTION("""COMPUTED_VALUE"""),21.0)</f>
        <v>21</v>
      </c>
      <c r="E35" s="8" t="str">
        <f>IFERROR(__xludf.DUMMYFUNCTION("""COMPUTED_VALUE"""),"head")</f>
        <v>head</v>
      </c>
      <c r="F35" s="8" t="str">
        <f>IFERROR(__xludf.DUMMYFUNCTION("""COMPUTED_VALUE"""),"")</f>
        <v/>
      </c>
    </row>
    <row r="36" ht="37.5" customHeight="1">
      <c r="A36" s="8" t="str">
        <f>IFERROR(__xludf.DUMMYFUNCTION("""COMPUTED_VALUE"""),"029x_wavycap1.anm2")</f>
        <v>029x_wavycap1.anm2</v>
      </c>
      <c r="B36" s="8">
        <f>IFERROR(__xludf.DUMMYFUNCTION("""COMPUTED_VALUE"""),71.0)</f>
        <v>71</v>
      </c>
      <c r="C36" s="8" t="str">
        <f>IFERROR(__xludf.DUMMYFUNCTION("""COMPUTED_VALUE"""),"none")</f>
        <v>none</v>
      </c>
      <c r="D36" s="8">
        <f>IFERROR(__xludf.DUMMYFUNCTION("""COMPUTED_VALUE"""),10.0)</f>
        <v>10</v>
      </c>
      <c r="E36" s="8" t="str">
        <f>IFERROR(__xludf.DUMMYFUNCTION("""COMPUTED_VALUE"""),"head")</f>
        <v>head</v>
      </c>
      <c r="F36" s="8" t="str">
        <f>IFERROR(__xludf.DUMMYFUNCTION("""COMPUTED_VALUE"""),"")</f>
        <v/>
      </c>
    </row>
    <row r="37" ht="37.5" customHeight="1">
      <c r="A37" s="8" t="str">
        <f>IFERROR(__xludf.DUMMYFUNCTION("""COMPUTED_VALUE"""),"029x_wavycap2.anm2")</f>
        <v>029x_wavycap2.anm2</v>
      </c>
      <c r="B37" s="8">
        <f>IFERROR(__xludf.DUMMYFUNCTION("""COMPUTED_VALUE"""),72.0)</f>
        <v>72</v>
      </c>
      <c r="C37" s="8" t="str">
        <f>IFERROR(__xludf.DUMMYFUNCTION("""COMPUTED_VALUE"""),"none")</f>
        <v>none</v>
      </c>
      <c r="D37" s="8">
        <f>IFERROR(__xludf.DUMMYFUNCTION("""COMPUTED_VALUE"""),10.0)</f>
        <v>10</v>
      </c>
      <c r="E37" s="8" t="str">
        <f>IFERROR(__xludf.DUMMYFUNCTION("""COMPUTED_VALUE"""),"head")</f>
        <v>head</v>
      </c>
      <c r="F37" s="8" t="str">
        <f>IFERROR(__xludf.DUMMYFUNCTION("""COMPUTED_VALUE"""),"")</f>
        <v/>
      </c>
    </row>
    <row r="38" ht="37.5" customHeight="1">
      <c r="A38" s="8" t="str">
        <f>IFERROR(__xludf.DUMMYFUNCTION("""COMPUTED_VALUE"""),"029x_wavycap3.anm2")</f>
        <v>029x_wavycap3.anm2</v>
      </c>
      <c r="B38" s="8">
        <f>IFERROR(__xludf.DUMMYFUNCTION("""COMPUTED_VALUE"""),73.0)</f>
        <v>73</v>
      </c>
      <c r="C38" s="8" t="str">
        <f>IFERROR(__xludf.DUMMYFUNCTION("""COMPUTED_VALUE"""),"none")</f>
        <v>none</v>
      </c>
      <c r="D38" s="8">
        <f>IFERROR(__xludf.DUMMYFUNCTION("""COMPUTED_VALUE"""),10.0)</f>
        <v>10</v>
      </c>
      <c r="E38" s="8" t="str">
        <f>IFERROR(__xludf.DUMMYFUNCTION("""COMPUTED_VALUE"""),"head")</f>
        <v>head</v>
      </c>
      <c r="F38" s="8" t="str">
        <f>IFERROR(__xludf.DUMMYFUNCTION("""COMPUTED_VALUE"""),"")</f>
        <v/>
      </c>
    </row>
    <row r="39" ht="37.5" customHeight="1">
      <c r="A39" s="8" t="str">
        <f>IFERROR(__xludf.DUMMYFUNCTION("""COMPUTED_VALUE"""),"036x_luna2.anm2")</f>
        <v>036x_luna2.anm2</v>
      </c>
      <c r="B39" s="8">
        <f>IFERROR(__xludf.DUMMYFUNCTION("""COMPUTED_VALUE"""),74.0)</f>
        <v>74</v>
      </c>
      <c r="C39" s="8" t="str">
        <f>IFERROR(__xludf.DUMMYFUNCTION("""COMPUTED_VALUE"""),"none")</f>
        <v>none</v>
      </c>
      <c r="D39" s="8">
        <f>IFERROR(__xludf.DUMMYFUNCTION("""COMPUTED_VALUE"""),2.0)</f>
        <v>2</v>
      </c>
      <c r="E39" s="8" t="str">
        <f>IFERROR(__xludf.DUMMYFUNCTION("""COMPUTED_VALUE"""),"head")</f>
        <v>head</v>
      </c>
      <c r="F39" s="8" t="str">
        <f>IFERROR(__xludf.DUMMYFUNCTION("""COMPUTED_VALUE"""),"")</f>
        <v/>
      </c>
    </row>
    <row r="40" ht="37.5" customHeight="1">
      <c r="A40" s="8" t="str">
        <f>IFERROR(__xludf.DUMMYFUNCTION("""COMPUTED_VALUE"""),"077_my little unicorn.anm2")</f>
        <v>077_my little unicorn.anm2</v>
      </c>
      <c r="B40" s="8">
        <f>IFERROR(__xludf.DUMMYFUNCTION("""COMPUTED_VALUE"""),77.0)</f>
        <v>77</v>
      </c>
      <c r="C40" s="8" t="str">
        <f>IFERROR(__xludf.DUMMYFUNCTION("""COMPUTED_VALUE"""),"active")</f>
        <v>active</v>
      </c>
      <c r="D40" s="8">
        <f>IFERROR(__xludf.DUMMYFUNCTION("""COMPUTED_VALUE"""),0.0)</f>
        <v>0</v>
      </c>
      <c r="E40" s="8" t="str">
        <f>IFERROR(__xludf.DUMMYFUNCTION("""COMPUTED_VALUE"""),"head")</f>
        <v>head</v>
      </c>
      <c r="F40" s="8" t="str">
        <f>IFERROR(__xludf.DUMMYFUNCTION("""COMPUTED_VALUE"""),"")</f>
        <v/>
      </c>
    </row>
    <row r="41" ht="37.5" customHeight="1">
      <c r="A41" s="8" t="str">
        <f>IFERROR(__xludf.DUMMYFUNCTION("""COMPUTED_VALUE"""),"080_the pact.anm2")</f>
        <v>080_the pact.anm2</v>
      </c>
      <c r="B41" s="8">
        <f>IFERROR(__xludf.DUMMYFUNCTION("""COMPUTED_VALUE"""),80.0)</f>
        <v>80</v>
      </c>
      <c r="C41" s="8" t="str">
        <f>IFERROR(__xludf.DUMMYFUNCTION("""COMPUTED_VALUE"""),"passive")</f>
        <v>passive</v>
      </c>
      <c r="D41" s="8">
        <f>IFERROR(__xludf.DUMMYFUNCTION("""COMPUTED_VALUE"""),0.0)</f>
        <v>0</v>
      </c>
      <c r="E41" s="8" t="str">
        <f>IFERROR(__xludf.DUMMYFUNCTION("""COMPUTED_VALUE"""),"head")</f>
        <v>head</v>
      </c>
      <c r="F41" s="8" t="str">
        <f>IFERROR(__xludf.DUMMYFUNCTION("""COMPUTED_VALUE"""),"")</f>
        <v/>
      </c>
    </row>
    <row r="42" ht="37.5" customHeight="1">
      <c r="A42" s="8" t="str">
        <f>IFERROR(__xludf.DUMMYFUNCTION("""COMPUTED_VALUE"""),"083_the nail.anm2")</f>
        <v>083_the nail.anm2</v>
      </c>
      <c r="B42" s="8">
        <f>IFERROR(__xludf.DUMMYFUNCTION("""COMPUTED_VALUE"""),83.0)</f>
        <v>83</v>
      </c>
      <c r="C42" s="8" t="str">
        <f>IFERROR(__xludf.DUMMYFUNCTION("""COMPUTED_VALUE"""),"passive")</f>
        <v>passive</v>
      </c>
      <c r="D42" s="8">
        <f>IFERROR(__xludf.DUMMYFUNCTION("""COMPUTED_VALUE"""),0.0)</f>
        <v>0</v>
      </c>
      <c r="E42" s="8" t="str">
        <f>IFERROR(__xludf.DUMMYFUNCTION("""COMPUTED_VALUE"""),"head")</f>
        <v>head</v>
      </c>
      <c r="F42" s="8" t="str">
        <f>IFERROR(__xludf.DUMMYFUNCTION("""COMPUTED_VALUE"""),"")</f>
        <v/>
      </c>
    </row>
    <row r="43" ht="37.5" customHeight="1">
      <c r="A43" s="8" t="str">
        <f>IFERROR(__xludf.DUMMYFUNCTION("""COMPUTED_VALUE"""),"character_b08_azazel.anm2")</f>
        <v>character_b08_azazel.anm2</v>
      </c>
      <c r="B43" s="8">
        <f>IFERROR(__xludf.DUMMYFUNCTION("""COMPUTED_VALUE"""),86.0)</f>
        <v>86</v>
      </c>
      <c r="C43" s="8" t="str">
        <f>IFERROR(__xludf.DUMMYFUNCTION("""COMPUTED_VALUE"""),"none")</f>
        <v>none</v>
      </c>
      <c r="D43" s="8">
        <f>IFERROR(__xludf.DUMMYFUNCTION("""COMPUTED_VALUE"""),99.0)</f>
        <v>99</v>
      </c>
      <c r="E43" s="8" t="str">
        <f>IFERROR(__xludf.DUMMYFUNCTION("""COMPUTED_VALUE"""),"head")</f>
        <v>head</v>
      </c>
      <c r="F43" s="8" t="str">
        <f>IFERROR(__xludf.DUMMYFUNCTION("""COMPUTED_VALUE"""),"")</f>
        <v/>
      </c>
    </row>
    <row r="44" ht="37.5" customHeight="1">
      <c r="A44" s="8" t="str">
        <f>IFERROR(__xludf.DUMMYFUNCTION("""COMPUTED_VALUE"""),"093_the gamekid.anm2")</f>
        <v>093_the gamekid.anm2</v>
      </c>
      <c r="B44" s="8">
        <f>IFERROR(__xludf.DUMMYFUNCTION("""COMPUTED_VALUE"""),93.0)</f>
        <v>93</v>
      </c>
      <c r="C44" s="8" t="str">
        <f>IFERROR(__xludf.DUMMYFUNCTION("""COMPUTED_VALUE"""),"active")</f>
        <v>active</v>
      </c>
      <c r="D44" s="8">
        <f>IFERROR(__xludf.DUMMYFUNCTION("""COMPUTED_VALUE"""),100.0)</f>
        <v>100</v>
      </c>
      <c r="E44" s="8" t="str">
        <f>IFERROR(__xludf.DUMMYFUNCTION("""COMPUTED_VALUE"""),"head")</f>
        <v>head</v>
      </c>
      <c r="F44" s="8" t="str">
        <f>IFERROR(__xludf.DUMMYFUNCTION("""COMPUTED_VALUE"""),"")</f>
        <v/>
      </c>
    </row>
    <row r="45" ht="37.5" customHeight="1">
      <c r="A45" s="8" t="str">
        <f>IFERROR(__xludf.DUMMYFUNCTION("""COMPUTED_VALUE"""),"n_azazelsrage_4.anm2")</f>
        <v>n_azazelsrage_4.anm2</v>
      </c>
      <c r="B45" s="8">
        <f>IFERROR(__xludf.DUMMYFUNCTION("""COMPUTED_VALUE"""),99.0)</f>
        <v>99</v>
      </c>
      <c r="C45" s="8" t="str">
        <f>IFERROR(__xludf.DUMMYFUNCTION("""COMPUTED_VALUE"""),"none")</f>
        <v>none</v>
      </c>
      <c r="D45" s="8">
        <f>IFERROR(__xludf.DUMMYFUNCTION("""COMPUTED_VALUE"""),1.0)</f>
        <v>1</v>
      </c>
      <c r="E45" s="8" t="str">
        <f>IFERROR(__xludf.DUMMYFUNCTION("""COMPUTED_VALUE"""),"head")</f>
        <v>head</v>
      </c>
      <c r="F45" s="8" t="str">
        <f>IFERROR(__xludf.DUMMYFUNCTION("""COMPUTED_VALUE"""),"")</f>
        <v/>
      </c>
    </row>
    <row r="46" ht="37.5" customHeight="1">
      <c r="A46" s="8" t="str">
        <f>IFERROR(__xludf.DUMMYFUNCTION("""COMPUTED_VALUE"""),"n_esau_jr.anm2")</f>
        <v>n_esau_jr.anm2</v>
      </c>
      <c r="B46" s="8">
        <f>IFERROR(__xludf.DUMMYFUNCTION("""COMPUTED_VALUE"""),100.0)</f>
        <v>100</v>
      </c>
      <c r="C46" s="8" t="str">
        <f>IFERROR(__xludf.DUMMYFUNCTION("""COMPUTED_VALUE"""),"none")</f>
        <v>none</v>
      </c>
      <c r="D46" s="8">
        <f>IFERROR(__xludf.DUMMYFUNCTION("""COMPUTED_VALUE"""),0.0)</f>
        <v>0</v>
      </c>
      <c r="E46" s="8" t="str">
        <f>IFERROR(__xludf.DUMMYFUNCTION("""COMPUTED_VALUE"""),"head")</f>
        <v>head</v>
      </c>
      <c r="F46" s="8" t="str">
        <f>IFERROR(__xludf.DUMMYFUNCTION("""COMPUTED_VALUE"""),"")</f>
        <v/>
      </c>
    </row>
    <row r="47" ht="37.5" customHeight="1">
      <c r="A47" s="8" t="str">
        <f>IFERROR(__xludf.DUMMYFUNCTION("""COMPUTED_VALUE"""),"n_spiritshackles_ghost.anm2")</f>
        <v>n_spiritshackles_ghost.anm2</v>
      </c>
      <c r="B47" s="8">
        <f>IFERROR(__xludf.DUMMYFUNCTION("""COMPUTED_VALUE"""),101.0)</f>
        <v>101</v>
      </c>
      <c r="C47" s="8" t="str">
        <f>IFERROR(__xludf.DUMMYFUNCTION("""COMPUTED_VALUE"""),"none")</f>
        <v>none</v>
      </c>
      <c r="D47" s="8">
        <f>IFERROR(__xludf.DUMMYFUNCTION("""COMPUTED_VALUE"""),0.0)</f>
        <v>0</v>
      </c>
      <c r="E47" s="8" t="str">
        <f>IFERROR(__xludf.DUMMYFUNCTION("""COMPUTED_VALUE"""),"head")</f>
        <v>head</v>
      </c>
      <c r="F47" s="8" t="str">
        <f>IFERROR(__xludf.DUMMYFUNCTION("""COMPUTED_VALUE"""),"")</f>
        <v/>
      </c>
    </row>
    <row r="48" ht="37.5" customHeight="1">
      <c r="A48" s="8" t="str">
        <f>IFERROR(__xludf.DUMMYFUNCTION("""COMPUTED_VALUE"""),"103_the common cold.anm2")</f>
        <v>103_the common cold.anm2</v>
      </c>
      <c r="B48" s="8">
        <f>IFERROR(__xludf.DUMMYFUNCTION("""COMPUTED_VALUE"""),103.0)</f>
        <v>103</v>
      </c>
      <c r="C48" s="8" t="str">
        <f>IFERROR(__xludf.DUMMYFUNCTION("""COMPUTED_VALUE"""),"passive")</f>
        <v>passive</v>
      </c>
      <c r="D48" s="8">
        <f>IFERROR(__xludf.DUMMYFUNCTION("""COMPUTED_VALUE"""),0.0)</f>
        <v>0</v>
      </c>
      <c r="E48" s="8" t="str">
        <f>IFERROR(__xludf.DUMMYFUNCTION("""COMPUTED_VALUE"""),"head")</f>
        <v>head</v>
      </c>
      <c r="F48" s="8" t="str">
        <f>IFERROR(__xludf.DUMMYFUNCTION("""COMPUTED_VALUE"""),"")</f>
        <v/>
      </c>
    </row>
    <row r="49" ht="37.5" customHeight="1">
      <c r="A49" s="8" t="str">
        <f>IFERROR(__xludf.DUMMYFUNCTION("""COMPUTED_VALUE"""),"106_mr mega.anm2")</f>
        <v>106_mr mega.anm2</v>
      </c>
      <c r="B49" s="8">
        <f>IFERROR(__xludf.DUMMYFUNCTION("""COMPUTED_VALUE"""),106.0)</f>
        <v>106</v>
      </c>
      <c r="C49" s="8" t="str">
        <f>IFERROR(__xludf.DUMMYFUNCTION("""COMPUTED_VALUE"""),"passive")</f>
        <v>passive</v>
      </c>
      <c r="D49" s="8">
        <f>IFERROR(__xludf.DUMMYFUNCTION("""COMPUTED_VALUE"""),0.0)</f>
        <v>0</v>
      </c>
      <c r="E49" s="8" t="str">
        <f>IFERROR(__xludf.DUMMYFUNCTION("""COMPUTED_VALUE"""),"head")</f>
        <v>head</v>
      </c>
      <c r="F49" s="8" t="str">
        <f>IFERROR(__xludf.DUMMYFUNCTION("""COMPUTED_VALUE"""),"")</f>
        <v/>
      </c>
    </row>
    <row r="50" ht="37.5" customHeight="1">
      <c r="A50" s="8" t="str">
        <f>IFERROR(__xludf.DUMMYFUNCTION("""COMPUTED_VALUE"""),"n_forgotten_bomb.anm2")</f>
        <v>n_forgotten_bomb.anm2</v>
      </c>
      <c r="B50" s="8">
        <f>IFERROR(__xludf.DUMMYFUNCTION("""COMPUTED_VALUE"""),106.0)</f>
        <v>106</v>
      </c>
      <c r="C50" s="8" t="str">
        <f>IFERROR(__xludf.DUMMYFUNCTION("""COMPUTED_VALUE"""),"none")</f>
        <v>none</v>
      </c>
      <c r="D50" s="8">
        <f>IFERROR(__xludf.DUMMYFUNCTION("""COMPUTED_VALUE"""),101.0)</f>
        <v>101</v>
      </c>
      <c r="E50" s="8" t="str">
        <f>IFERROR(__xludf.DUMMYFUNCTION("""COMPUTED_VALUE"""),"head")</f>
        <v>head</v>
      </c>
      <c r="F50" s="8" t="str">
        <f>IFERROR(__xludf.DUMMYFUNCTION("""COMPUTED_VALUE"""),"")</f>
        <v/>
      </c>
    </row>
    <row r="51" ht="37.5" customHeight="1">
      <c r="A51" s="8" t="str">
        <f>IFERROR(__xludf.DUMMYFUNCTION("""COMPUTED_VALUE"""),"n_bloody_babylon.anm2")</f>
        <v>n_bloody_babylon.anm2</v>
      </c>
      <c r="B51" s="8">
        <f>IFERROR(__xludf.DUMMYFUNCTION("""COMPUTED_VALUE"""),110.0)</f>
        <v>110</v>
      </c>
      <c r="C51" s="8" t="str">
        <f>IFERROR(__xludf.DUMMYFUNCTION("""COMPUTED_VALUE"""),"none")</f>
        <v>none</v>
      </c>
      <c r="D51" s="8">
        <f>IFERROR(__xludf.DUMMYFUNCTION("""COMPUTED_VALUE"""),99.0)</f>
        <v>99</v>
      </c>
      <c r="E51" s="8" t="str">
        <f>IFERROR(__xludf.DUMMYFUNCTION("""COMPUTED_VALUE"""),"head")</f>
        <v>head</v>
      </c>
      <c r="F51" s="8" t="str">
        <f>IFERROR(__xludf.DUMMYFUNCTION("""COMPUTED_VALUE"""),"")</f>
        <v/>
      </c>
    </row>
    <row r="52" ht="37.5" customHeight="1">
      <c r="A52" s="8" t="str">
        <f>IFERROR(__xludf.DUMMYFUNCTION("""COMPUTED_VALUE"""),"n_lost_curse.anm2")</f>
        <v>n_lost_curse.anm2</v>
      </c>
      <c r="B52" s="8">
        <f>IFERROR(__xludf.DUMMYFUNCTION("""COMPUTED_VALUE"""),112.0)</f>
        <v>112</v>
      </c>
      <c r="C52" s="8" t="str">
        <f>IFERROR(__xludf.DUMMYFUNCTION("""COMPUTED_VALUE"""),"none")</f>
        <v>none</v>
      </c>
      <c r="D52" s="8">
        <f>IFERROR(__xludf.DUMMYFUNCTION("""COMPUTED_VALUE"""),99.0)</f>
        <v>99</v>
      </c>
      <c r="E52" s="8" t="str">
        <f>IFERROR(__xludf.DUMMYFUNCTION("""COMPUTED_VALUE"""),"head")</f>
        <v>head</v>
      </c>
      <c r="F52" s="8" t="str">
        <f>IFERROR(__xludf.DUMMYFUNCTION("""COMPUTED_VALUE"""),"")</f>
        <v/>
      </c>
    </row>
    <row r="53" ht="37.5" customHeight="1">
      <c r="A53" s="8" t="str">
        <f>IFERROR(__xludf.DUMMYFUNCTION("""COMPUTED_VALUE"""),"115_ouija board.anm2")</f>
        <v>115_ouija board.anm2</v>
      </c>
      <c r="B53" s="8">
        <f>IFERROR(__xludf.DUMMYFUNCTION("""COMPUTED_VALUE"""),115.0)</f>
        <v>115</v>
      </c>
      <c r="C53" s="8" t="str">
        <f>IFERROR(__xludf.DUMMYFUNCTION("""COMPUTED_VALUE"""),"passive")</f>
        <v>passive</v>
      </c>
      <c r="D53" s="8">
        <f>IFERROR(__xludf.DUMMYFUNCTION("""COMPUTED_VALUE"""),0.0)</f>
        <v>0</v>
      </c>
      <c r="E53" s="8" t="str">
        <f>IFERROR(__xludf.DUMMYFUNCTION("""COMPUTED_VALUE"""),"head")</f>
        <v>head</v>
      </c>
      <c r="F53" s="8" t="str">
        <f>IFERROR(__xludf.DUMMYFUNCTION("""COMPUTED_VALUE"""),"")</f>
        <v/>
      </c>
    </row>
    <row r="54" ht="37.5" customHeight="1">
      <c r="A54" s="8" t="str">
        <f>IFERROR(__xludf.DUMMYFUNCTION("""COMPUTED_VALUE"""),"n_hemoptysis.anm2")</f>
        <v>n_hemoptysis.anm2</v>
      </c>
      <c r="B54" s="8">
        <f>IFERROR(__xludf.DUMMYFUNCTION("""COMPUTED_VALUE"""),117.0)</f>
        <v>117</v>
      </c>
      <c r="C54" s="8" t="str">
        <f>IFERROR(__xludf.DUMMYFUNCTION("""COMPUTED_VALUE"""),"none")</f>
        <v>none</v>
      </c>
      <c r="D54" s="8">
        <f>IFERROR(__xludf.DUMMYFUNCTION("""COMPUTED_VALUE"""),1.0)</f>
        <v>1</v>
      </c>
      <c r="E54" s="8" t="str">
        <f>IFERROR(__xludf.DUMMYFUNCTION("""COMPUTED_VALUE"""),"head")</f>
        <v>head</v>
      </c>
      <c r="F54" s="8" t="str">
        <f>IFERROR(__xludf.DUMMYFUNCTION("""COMPUTED_VALUE"""),"")</f>
        <v/>
      </c>
    </row>
    <row r="55" ht="37.5" customHeight="1">
      <c r="A55" s="8" t="str">
        <f>IFERROR(__xludf.DUMMYFUNCTION("""COMPUTED_VALUE"""),"118_brimstone.anm2")</f>
        <v>118_brimstone.anm2</v>
      </c>
      <c r="B55" s="8">
        <f>IFERROR(__xludf.DUMMYFUNCTION("""COMPUTED_VALUE"""),118.0)</f>
        <v>118</v>
      </c>
      <c r="C55" s="8" t="str">
        <f>IFERROR(__xludf.DUMMYFUNCTION("""COMPUTED_VALUE"""),"passive")</f>
        <v>passive</v>
      </c>
      <c r="D55" s="8">
        <f>IFERROR(__xludf.DUMMYFUNCTION("""COMPUTED_VALUE"""),23.0)</f>
        <v>23</v>
      </c>
      <c r="E55" s="8" t="str">
        <f>IFERROR(__xludf.DUMMYFUNCTION("""COMPUTED_VALUE"""),"head")</f>
        <v>head</v>
      </c>
      <c r="F55" s="8" t="str">
        <f>IFERROR(__xludf.DUMMYFUNCTION("""COMPUTED_VALUE"""),"")</f>
        <v/>
      </c>
    </row>
    <row r="56" ht="37.5" customHeight="1">
      <c r="A56" s="8" t="str">
        <f>IFERROR(__xludf.DUMMYFUNCTION("""COMPUTED_VALUE"""),"n_i_found_horse_pills.anm2")</f>
        <v>n_i_found_horse_pills.anm2</v>
      </c>
      <c r="B56" s="8">
        <f>IFERROR(__xludf.DUMMYFUNCTION("""COMPUTED_VALUE"""),118.0)</f>
        <v>118</v>
      </c>
      <c r="C56" s="8" t="str">
        <f>IFERROR(__xludf.DUMMYFUNCTION("""COMPUTED_VALUE"""),"none")</f>
        <v>none</v>
      </c>
      <c r="D56" s="8">
        <f>IFERROR(__xludf.DUMMYFUNCTION("""COMPUTED_VALUE"""),1.0)</f>
        <v>1</v>
      </c>
      <c r="E56" s="8" t="str">
        <f>IFERROR(__xludf.DUMMYFUNCTION("""COMPUTED_VALUE"""),"head")</f>
        <v>head</v>
      </c>
      <c r="F56" s="8" t="str">
        <f>IFERROR(__xludf.DUMMYFUNCTION("""COMPUTED_VALUE"""),"")</f>
        <v/>
      </c>
    </row>
    <row r="57" ht="37.5" customHeight="1">
      <c r="A57" s="8" t="str">
        <f>IFERROR(__xludf.DUMMYFUNCTION("""COMPUTED_VALUE"""),"122_whore of babylon.anm2")</f>
        <v>122_whore of babylon.anm2</v>
      </c>
      <c r="B57" s="8">
        <f>IFERROR(__xludf.DUMMYFUNCTION("""COMPUTED_VALUE"""),122.0)</f>
        <v>122</v>
      </c>
      <c r="C57" s="8" t="str">
        <f>IFERROR(__xludf.DUMMYFUNCTION("""COMPUTED_VALUE"""),"passive")</f>
        <v>passive</v>
      </c>
      <c r="D57" s="8">
        <f>IFERROR(__xludf.DUMMYFUNCTION("""COMPUTED_VALUE"""),1.0)</f>
        <v>1</v>
      </c>
      <c r="E57" s="8" t="str">
        <f>IFERROR(__xludf.DUMMYFUNCTION("""COMPUTED_VALUE"""),"head")</f>
        <v>head</v>
      </c>
      <c r="F57" s="8" t="str">
        <f>IFERROR(__xludf.DUMMYFUNCTION("""COMPUTED_VALUE"""),"")</f>
        <v/>
      </c>
    </row>
    <row r="58" ht="37.5" customHeight="1">
      <c r="A58" s="8" t="str">
        <f>IFERROR(__xludf.DUMMYFUNCTION("""COMPUTED_VALUE"""),"140_bobs curse.anm2")</f>
        <v>140_bobs curse.anm2</v>
      </c>
      <c r="B58" s="8">
        <f>IFERROR(__xludf.DUMMYFUNCTION("""COMPUTED_VALUE"""),140.0)</f>
        <v>140</v>
      </c>
      <c r="C58" s="8" t="str">
        <f>IFERROR(__xludf.DUMMYFUNCTION("""COMPUTED_VALUE"""),"passive")</f>
        <v>passive</v>
      </c>
      <c r="D58" s="8">
        <f>IFERROR(__xludf.DUMMYFUNCTION("""COMPUTED_VALUE"""),0.0)</f>
        <v>0</v>
      </c>
      <c r="E58" s="8" t="str">
        <f>IFERROR(__xludf.DUMMYFUNCTION("""COMPUTED_VALUE"""),"head")</f>
        <v>head</v>
      </c>
      <c r="F58" s="8" t="str">
        <f>IFERROR(__xludf.DUMMYFUNCTION("""COMPUTED_VALUE"""),"")</f>
        <v/>
      </c>
    </row>
    <row r="59" ht="37.5" customHeight="1">
      <c r="A59" s="8" t="str">
        <f>IFERROR(__xludf.DUMMYFUNCTION("""COMPUTED_VALUE"""),"143_speed ball.anm2")</f>
        <v>143_speed ball.anm2</v>
      </c>
      <c r="B59" s="8">
        <f>IFERROR(__xludf.DUMMYFUNCTION("""COMPUTED_VALUE"""),143.0)</f>
        <v>143</v>
      </c>
      <c r="C59" s="8" t="str">
        <f>IFERROR(__xludf.DUMMYFUNCTION("""COMPUTED_VALUE"""),"passive")</f>
        <v>passive</v>
      </c>
      <c r="D59" s="8">
        <f>IFERROR(__xludf.DUMMYFUNCTION("""COMPUTED_VALUE"""),0.0)</f>
        <v>0</v>
      </c>
      <c r="E59" s="8" t="str">
        <f>IFERROR(__xludf.DUMMYFUNCTION("""COMPUTED_VALUE"""),"head")</f>
        <v>head</v>
      </c>
      <c r="F59" s="8" t="str">
        <f>IFERROR(__xludf.DUMMYFUNCTION("""COMPUTED_VALUE"""),"")</f>
        <v/>
      </c>
    </row>
    <row r="60" ht="37.5" customHeight="1">
      <c r="A60" s="8" t="str">
        <f>IFERROR(__xludf.DUMMYFUNCTION("""COMPUTED_VALUE"""),"148_infestation.anm2")</f>
        <v>148_infestation.anm2</v>
      </c>
      <c r="B60" s="8">
        <f>IFERROR(__xludf.DUMMYFUNCTION("""COMPUTED_VALUE"""),148.0)</f>
        <v>148</v>
      </c>
      <c r="C60" s="8" t="str">
        <f>IFERROR(__xludf.DUMMYFUNCTION("""COMPUTED_VALUE"""),"passive")</f>
        <v>passive</v>
      </c>
      <c r="D60" s="8">
        <f>IFERROR(__xludf.DUMMYFUNCTION("""COMPUTED_VALUE"""),0.0)</f>
        <v>0</v>
      </c>
      <c r="E60" s="8" t="str">
        <f>IFERROR(__xludf.DUMMYFUNCTION("""COMPUTED_VALUE"""),"head")</f>
        <v>head</v>
      </c>
      <c r="F60" s="8" t="str">
        <f>IFERROR(__xludf.DUMMYFUNCTION("""COMPUTED_VALUE"""),"")</f>
        <v/>
      </c>
    </row>
    <row r="61" ht="37.5" customHeight="1">
      <c r="A61" s="8" t="str">
        <f>IFERROR(__xludf.DUMMYFUNCTION("""COMPUTED_VALUE"""),"149_ipecac.anm2")</f>
        <v>149_ipecac.anm2</v>
      </c>
      <c r="B61" s="8">
        <f>IFERROR(__xludf.DUMMYFUNCTION("""COMPUTED_VALUE"""),149.0)</f>
        <v>149</v>
      </c>
      <c r="C61" s="8" t="str">
        <f>IFERROR(__xludf.DUMMYFUNCTION("""COMPUTED_VALUE"""),"passive")</f>
        <v>passive</v>
      </c>
      <c r="D61" s="8">
        <f>IFERROR(__xludf.DUMMYFUNCTION("""COMPUTED_VALUE"""),0.0)</f>
        <v>0</v>
      </c>
      <c r="E61" s="8" t="str">
        <f>IFERROR(__xludf.DUMMYFUNCTION("""COMPUTED_VALUE"""),"head")</f>
        <v>head</v>
      </c>
      <c r="F61" s="8" t="str">
        <f>IFERROR(__xludf.DUMMYFUNCTION("""COMPUTED_VALUE"""),"")</f>
        <v/>
      </c>
    </row>
    <row r="62" ht="37.5" customHeight="1">
      <c r="A62" s="8" t="str">
        <f>IFERROR(__xludf.DUMMYFUNCTION("""COMPUTED_VALUE"""),"151_the mulligan.anm2")</f>
        <v>151_the mulligan.anm2</v>
      </c>
      <c r="B62" s="8">
        <f>IFERROR(__xludf.DUMMYFUNCTION("""COMPUTED_VALUE"""),151.0)</f>
        <v>151</v>
      </c>
      <c r="C62" s="8" t="str">
        <f>IFERROR(__xludf.DUMMYFUNCTION("""COMPUTED_VALUE"""),"passive")</f>
        <v>passive</v>
      </c>
      <c r="D62" s="8">
        <f>IFERROR(__xludf.DUMMYFUNCTION("""COMPUTED_VALUE"""),0.0)</f>
        <v>0</v>
      </c>
      <c r="E62" s="8" t="str">
        <f>IFERROR(__xludf.DUMMYFUNCTION("""COMPUTED_VALUE"""),"head")</f>
        <v>head</v>
      </c>
      <c r="F62" s="8" t="str">
        <f>IFERROR(__xludf.DUMMYFUNCTION("""COMPUTED_VALUE"""),"")</f>
        <v/>
      </c>
    </row>
    <row r="63" ht="37.5" customHeight="1">
      <c r="A63" s="8" t="str">
        <f>IFERROR(__xludf.DUMMYFUNCTION("""COMPUTED_VALUE"""),"154_chemical peel.anm2")</f>
        <v>154_chemical peel.anm2</v>
      </c>
      <c r="B63" s="8">
        <f>IFERROR(__xludf.DUMMYFUNCTION("""COMPUTED_VALUE"""),154.0)</f>
        <v>154</v>
      </c>
      <c r="C63" s="8" t="str">
        <f>IFERROR(__xludf.DUMMYFUNCTION("""COMPUTED_VALUE"""),"passive")</f>
        <v>passive</v>
      </c>
      <c r="D63" s="8">
        <f>IFERROR(__xludf.DUMMYFUNCTION("""COMPUTED_VALUE"""),0.0)</f>
        <v>0</v>
      </c>
      <c r="E63" s="8" t="str">
        <f>IFERROR(__xludf.DUMMYFUNCTION("""COMPUTED_VALUE"""),"head")</f>
        <v>head</v>
      </c>
      <c r="F63" s="8" t="str">
        <f>IFERROR(__xludf.DUMMYFUNCTION("""COMPUTED_VALUE"""),"")</f>
        <v/>
      </c>
    </row>
    <row r="64" ht="37.5" customHeight="1">
      <c r="A64" s="8" t="str">
        <f>IFERROR(__xludf.DUMMYFUNCTION("""COMPUTED_VALUE"""),"159_spirit of the night.anm2")</f>
        <v>159_spirit of the night.anm2</v>
      </c>
      <c r="B64" s="8">
        <f>IFERROR(__xludf.DUMMYFUNCTION("""COMPUTED_VALUE"""),159.0)</f>
        <v>159</v>
      </c>
      <c r="C64" s="8" t="str">
        <f>IFERROR(__xludf.DUMMYFUNCTION("""COMPUTED_VALUE"""),"passive")</f>
        <v>passive</v>
      </c>
      <c r="D64" s="8">
        <f>IFERROR(__xludf.DUMMYFUNCTION("""COMPUTED_VALUE"""),0.0)</f>
        <v>0</v>
      </c>
      <c r="E64" s="8" t="str">
        <f>IFERROR(__xludf.DUMMYFUNCTION("""COMPUTED_VALUE"""),"head")</f>
        <v>head</v>
      </c>
      <c r="F64" s="8" t="str">
        <f>IFERROR(__xludf.DUMMYFUNCTION("""COMPUTED_VALUE"""),"")</f>
        <v/>
      </c>
    </row>
    <row r="65" ht="37.5" customHeight="1">
      <c r="A65" s="8" t="str">
        <f>IFERROR(__xludf.DUMMYFUNCTION("""COMPUTED_VALUE"""),"character_008_azazelhead.anm2")</f>
        <v>character_008_azazelhead.anm2</v>
      </c>
      <c r="B65" s="8">
        <f>IFERROR(__xludf.DUMMYFUNCTION("""COMPUTED_VALUE"""),162.0)</f>
        <v>162</v>
      </c>
      <c r="C65" s="8" t="str">
        <f>IFERROR(__xludf.DUMMYFUNCTION("""COMPUTED_VALUE"""),"trinket")</f>
        <v>trinket</v>
      </c>
      <c r="D65" s="8">
        <f>IFERROR(__xludf.DUMMYFUNCTION("""COMPUTED_VALUE"""),23.0)</f>
        <v>23</v>
      </c>
      <c r="E65" s="8" t="str">
        <f>IFERROR(__xludf.DUMMYFUNCTION("""COMPUTED_VALUE"""),"head")</f>
        <v>head</v>
      </c>
      <c r="F65" s="8" t="str">
        <f>IFERROR(__xludf.DUMMYFUNCTION("""COMPUTED_VALUE"""),"")</f>
        <v/>
      </c>
    </row>
    <row r="66" ht="37.5" customHeight="1">
      <c r="A66" s="8" t="str">
        <f>IFERROR(__xludf.DUMMYFUNCTION("""COMPUTED_VALUE"""),"169_polyphemus.anm2")</f>
        <v>169_polyphemus.anm2</v>
      </c>
      <c r="B66" s="8">
        <f>IFERROR(__xludf.DUMMYFUNCTION("""COMPUTED_VALUE"""),169.0)</f>
        <v>169</v>
      </c>
      <c r="C66" s="8" t="str">
        <f>IFERROR(__xludf.DUMMYFUNCTION("""COMPUTED_VALUE"""),"passive")</f>
        <v>passive</v>
      </c>
      <c r="D66" s="8">
        <f>IFERROR(__xludf.DUMMYFUNCTION("""COMPUTED_VALUE"""),0.0)</f>
        <v>0</v>
      </c>
      <c r="E66" s="8" t="str">
        <f>IFERROR(__xludf.DUMMYFUNCTION("""COMPUTED_VALUE"""),"head")</f>
        <v>head</v>
      </c>
      <c r="F66" s="8" t="str">
        <f>IFERROR(__xludf.DUMMYFUNCTION("""COMPUTED_VALUE"""),"")</f>
        <v/>
      </c>
    </row>
    <row r="67" ht="37.5" customHeight="1">
      <c r="A67" s="8" t="str">
        <f>IFERROR(__xludf.DUMMYFUNCTION("""COMPUTED_VALUE"""),"185_dead dove.anm2")</f>
        <v>185_dead dove.anm2</v>
      </c>
      <c r="B67" s="8">
        <f>IFERROR(__xludf.DUMMYFUNCTION("""COMPUTED_VALUE"""),185.0)</f>
        <v>185</v>
      </c>
      <c r="C67" s="8" t="str">
        <f>IFERROR(__xludf.DUMMYFUNCTION("""COMPUTED_VALUE"""),"passive")</f>
        <v>passive</v>
      </c>
      <c r="D67" s="8">
        <f>IFERROR(__xludf.DUMMYFUNCTION("""COMPUTED_VALUE"""),0.0)</f>
        <v>0</v>
      </c>
      <c r="E67" s="8" t="str">
        <f>IFERROR(__xludf.DUMMYFUNCTION("""COMPUTED_VALUE"""),"head")</f>
        <v>head</v>
      </c>
      <c r="F67" s="8" t="str">
        <f>IFERROR(__xludf.DUMMYFUNCTION("""COMPUTED_VALUE"""),"")</f>
        <v/>
      </c>
    </row>
    <row r="68" ht="37.5" customHeight="1">
      <c r="A68" s="8" t="str">
        <f>IFERROR(__xludf.DUMMYFUNCTION("""COMPUTED_VALUE"""),"189_smb super fan.anm2")</f>
        <v>189_smb super fan.anm2</v>
      </c>
      <c r="B68" s="8">
        <f>IFERROR(__xludf.DUMMYFUNCTION("""COMPUTED_VALUE"""),189.0)</f>
        <v>189</v>
      </c>
      <c r="C68" s="8" t="str">
        <f>IFERROR(__xludf.DUMMYFUNCTION("""COMPUTED_VALUE"""),"passive")</f>
        <v>passive</v>
      </c>
      <c r="D68" s="8">
        <f>IFERROR(__xludf.DUMMYFUNCTION("""COMPUTED_VALUE"""),0.0)</f>
        <v>0</v>
      </c>
      <c r="E68" s="8" t="str">
        <f>IFERROR(__xludf.DUMMYFUNCTION("""COMPUTED_VALUE"""),"head")</f>
        <v>head</v>
      </c>
      <c r="F68" s="8" t="str">
        <f>IFERROR(__xludf.DUMMYFUNCTION("""COMPUTED_VALUE"""),"")</f>
        <v/>
      </c>
    </row>
    <row r="69" ht="37.5" customHeight="1">
      <c r="A69" s="8" t="str">
        <f>IFERROR(__xludf.DUMMYFUNCTION("""COMPUTED_VALUE"""),"191_3 dollar bill.anm2")</f>
        <v>191_3 dollar bill.anm2</v>
      </c>
      <c r="B69" s="8">
        <f>IFERROR(__xludf.DUMMYFUNCTION("""COMPUTED_VALUE"""),191.0)</f>
        <v>191</v>
      </c>
      <c r="C69" s="8" t="str">
        <f>IFERROR(__xludf.DUMMYFUNCTION("""COMPUTED_VALUE"""),"passive")</f>
        <v>passive</v>
      </c>
      <c r="D69" s="8">
        <f>IFERROR(__xludf.DUMMYFUNCTION("""COMPUTED_VALUE"""),0.0)</f>
        <v>0</v>
      </c>
      <c r="E69" s="8" t="str">
        <f>IFERROR(__xludf.DUMMYFUNCTION("""COMPUTED_VALUE"""),"head")</f>
        <v>head</v>
      </c>
      <c r="F69" s="8" t="str">
        <f>IFERROR(__xludf.DUMMYFUNCTION("""COMPUTED_VALUE"""),"")</f>
        <v/>
      </c>
    </row>
    <row r="70" ht="37.5" customHeight="1">
      <c r="A70" s="8" t="str">
        <f>IFERROR(__xludf.DUMMYFUNCTION("""COMPUTED_VALUE"""),"192_telepathy for dummies.anm2")</f>
        <v>192_telepathy for dummies.anm2</v>
      </c>
      <c r="B70" s="8">
        <f>IFERROR(__xludf.DUMMYFUNCTION("""COMPUTED_VALUE"""),192.0)</f>
        <v>192</v>
      </c>
      <c r="C70" s="8" t="str">
        <f>IFERROR(__xludf.DUMMYFUNCTION("""COMPUTED_VALUE"""),"active")</f>
        <v>active</v>
      </c>
      <c r="D70" s="8">
        <f>IFERROR(__xludf.DUMMYFUNCTION("""COMPUTED_VALUE"""),0.0)</f>
        <v>0</v>
      </c>
      <c r="E70" s="8" t="str">
        <f>IFERROR(__xludf.DUMMYFUNCTION("""COMPUTED_VALUE"""),"head")</f>
        <v>head</v>
      </c>
      <c r="F70" s="8" t="str">
        <f>IFERROR(__xludf.DUMMYFUNCTION("""COMPUTED_VALUE"""),"")</f>
        <v/>
      </c>
    </row>
    <row r="71" ht="37.5" customHeight="1">
      <c r="A71" s="8" t="str">
        <f>IFERROR(__xludf.DUMMYFUNCTION("""COMPUTED_VALUE"""),"203_humblingbundle.anm2")</f>
        <v>203_humblingbundle.anm2</v>
      </c>
      <c r="B71" s="8">
        <f>IFERROR(__xludf.DUMMYFUNCTION("""COMPUTED_VALUE"""),203.0)</f>
        <v>203</v>
      </c>
      <c r="C71" s="8" t="str">
        <f>IFERROR(__xludf.DUMMYFUNCTION("""COMPUTED_VALUE"""),"passive")</f>
        <v>passive</v>
      </c>
      <c r="D71" s="8">
        <f>IFERROR(__xludf.DUMMYFUNCTION("""COMPUTED_VALUE"""),0.0)</f>
        <v>0</v>
      </c>
      <c r="E71" s="8" t="str">
        <f>IFERROR(__xludf.DUMMYFUNCTION("""COMPUTED_VALUE"""),"head")</f>
        <v>head</v>
      </c>
      <c r="F71" s="8" t="str">
        <f>IFERROR(__xludf.DUMMYFUNCTION("""COMPUTED_VALUE"""),"")</f>
        <v/>
      </c>
    </row>
    <row r="72" ht="37.5" customHeight="1">
      <c r="A72" s="8" t="str">
        <f>IFERROR(__xludf.DUMMYFUNCTION("""COMPUTED_VALUE"""),"222_antigravity.anm2")</f>
        <v>222_antigravity.anm2</v>
      </c>
      <c r="B72" s="8">
        <f>IFERROR(__xludf.DUMMYFUNCTION("""COMPUTED_VALUE"""),222.0)</f>
        <v>222</v>
      </c>
      <c r="C72" s="8" t="str">
        <f>IFERROR(__xludf.DUMMYFUNCTION("""COMPUTED_VALUE"""),"passive")</f>
        <v>passive</v>
      </c>
      <c r="D72" s="8">
        <f>IFERROR(__xludf.DUMMYFUNCTION("""COMPUTED_VALUE"""),0.0)</f>
        <v>0</v>
      </c>
      <c r="E72" s="8" t="str">
        <f>IFERROR(__xludf.DUMMYFUNCTION("""COMPUTED_VALUE"""),"head")</f>
        <v>head</v>
      </c>
      <c r="F72" s="8" t="str">
        <f>IFERROR(__xludf.DUMMYFUNCTION("""COMPUTED_VALUE"""),"")</f>
        <v/>
      </c>
    </row>
    <row r="73" ht="37.5" customHeight="1">
      <c r="A73" s="8" t="str">
        <f>IFERROR(__xludf.DUMMYFUNCTION("""COMPUTED_VALUE"""),"223_pyromaniac.anm2")</f>
        <v>223_pyromaniac.anm2</v>
      </c>
      <c r="B73" s="8">
        <f>IFERROR(__xludf.DUMMYFUNCTION("""COMPUTED_VALUE"""),223.0)</f>
        <v>223</v>
      </c>
      <c r="C73" s="8" t="str">
        <f>IFERROR(__xludf.DUMMYFUNCTION("""COMPUTED_VALUE"""),"passive")</f>
        <v>passive</v>
      </c>
      <c r="D73" s="8">
        <f>IFERROR(__xludf.DUMMYFUNCTION("""COMPUTED_VALUE"""),0.0)</f>
        <v>0</v>
      </c>
      <c r="E73" s="8" t="str">
        <f>IFERROR(__xludf.DUMMYFUNCTION("""COMPUTED_VALUE"""),"head")</f>
        <v>head</v>
      </c>
      <c r="F73" s="8" t="str">
        <f>IFERROR(__xludf.DUMMYFUNCTION("""COMPUTED_VALUE"""),"")</f>
        <v/>
      </c>
    </row>
    <row r="74" ht="37.5" customHeight="1">
      <c r="A74" s="8" t="str">
        <f>IFERROR(__xludf.DUMMYFUNCTION("""COMPUTED_VALUE"""),"229_monstros lung.anm2")</f>
        <v>229_monstros lung.anm2</v>
      </c>
      <c r="B74" s="8">
        <f>IFERROR(__xludf.DUMMYFUNCTION("""COMPUTED_VALUE"""),229.0)</f>
        <v>229</v>
      </c>
      <c r="C74" s="8" t="str">
        <f>IFERROR(__xludf.DUMMYFUNCTION("""COMPUTED_VALUE"""),"passive")</f>
        <v>passive</v>
      </c>
      <c r="D74" s="8">
        <f>IFERROR(__xludf.DUMMYFUNCTION("""COMPUTED_VALUE"""),22.0)</f>
        <v>22</v>
      </c>
      <c r="E74" s="8" t="str">
        <f>IFERROR(__xludf.DUMMYFUNCTION("""COMPUTED_VALUE"""),"head")</f>
        <v>head</v>
      </c>
      <c r="F74" s="8" t="str">
        <f>IFERROR(__xludf.DUMMYFUNCTION("""COMPUTED_VALUE"""),"")</f>
        <v/>
      </c>
    </row>
    <row r="75" ht="37.5" customHeight="1">
      <c r="A75" s="8" t="str">
        <f>IFERROR(__xludf.DUMMYFUNCTION("""COMPUTED_VALUE"""),"230_abaddon.anm2")</f>
        <v>230_abaddon.anm2</v>
      </c>
      <c r="B75" s="8">
        <f>IFERROR(__xludf.DUMMYFUNCTION("""COMPUTED_VALUE"""),230.0)</f>
        <v>230</v>
      </c>
      <c r="C75" s="8" t="str">
        <f>IFERROR(__xludf.DUMMYFUNCTION("""COMPUTED_VALUE"""),"passive")</f>
        <v>passive</v>
      </c>
      <c r="D75" s="8">
        <f>IFERROR(__xludf.DUMMYFUNCTION("""COMPUTED_VALUE"""),0.0)</f>
        <v>0</v>
      </c>
      <c r="E75" s="8" t="str">
        <f>IFERROR(__xludf.DUMMYFUNCTION("""COMPUTED_VALUE"""),"head")</f>
        <v>head</v>
      </c>
      <c r="F75" s="8" t="str">
        <f>IFERROR(__xludf.DUMMYFUNCTION("""COMPUTED_VALUE"""),"")</f>
        <v/>
      </c>
    </row>
    <row r="76" ht="37.5" customHeight="1">
      <c r="A76" s="8" t="str">
        <f>IFERROR(__xludf.DUMMYFUNCTION("""COMPUTED_VALUE"""),"231_balloftar.anm2")</f>
        <v>231_balloftar.anm2</v>
      </c>
      <c r="B76" s="8">
        <f>IFERROR(__xludf.DUMMYFUNCTION("""COMPUTED_VALUE"""),231.0)</f>
        <v>231</v>
      </c>
      <c r="C76" s="8" t="str">
        <f>IFERROR(__xludf.DUMMYFUNCTION("""COMPUTED_VALUE"""),"passive")</f>
        <v>passive</v>
      </c>
      <c r="D76" s="8">
        <f>IFERROR(__xludf.DUMMYFUNCTION("""COMPUTED_VALUE"""),0.0)</f>
        <v>0</v>
      </c>
      <c r="E76" s="8" t="str">
        <f>IFERROR(__xludf.DUMMYFUNCTION("""COMPUTED_VALUE"""),"head")</f>
        <v>head</v>
      </c>
      <c r="F76" s="8" t="str">
        <f>IFERROR(__xludf.DUMMYFUNCTION("""COMPUTED_VALUE"""),"")</f>
        <v/>
      </c>
    </row>
    <row r="77" ht="37.5" customHeight="1">
      <c r="A77" s="8" t="str">
        <f>IFERROR(__xludf.DUMMYFUNCTION("""COMPUTED_VALUE"""),"234_infestation2.anm2")</f>
        <v>234_infestation2.anm2</v>
      </c>
      <c r="B77" s="8">
        <f>IFERROR(__xludf.DUMMYFUNCTION("""COMPUTED_VALUE"""),234.0)</f>
        <v>234</v>
      </c>
      <c r="C77" s="8" t="str">
        <f>IFERROR(__xludf.DUMMYFUNCTION("""COMPUTED_VALUE"""),"passive")</f>
        <v>passive</v>
      </c>
      <c r="D77" s="8">
        <f>IFERROR(__xludf.DUMMYFUNCTION("""COMPUTED_VALUE"""),0.0)</f>
        <v>0</v>
      </c>
      <c r="E77" s="8" t="str">
        <f>IFERROR(__xludf.DUMMYFUNCTION("""COMPUTED_VALUE"""),"head")</f>
        <v>head</v>
      </c>
      <c r="F77" s="8" t="str">
        <f>IFERROR(__xludf.DUMMYFUNCTION("""COMPUTED_VALUE"""),"")</f>
        <v/>
      </c>
    </row>
    <row r="78" ht="37.5" customHeight="1">
      <c r="A78" s="8" t="str">
        <f>IFERROR(__xludf.DUMMYFUNCTION("""COMPUTED_VALUE"""),"237_deathstouch.anm2")</f>
        <v>237_deathstouch.anm2</v>
      </c>
      <c r="B78" s="8">
        <f>IFERROR(__xludf.DUMMYFUNCTION("""COMPUTED_VALUE"""),237.0)</f>
        <v>237</v>
      </c>
      <c r="C78" s="8" t="str">
        <f>IFERROR(__xludf.DUMMYFUNCTION("""COMPUTED_VALUE"""),"passive")</f>
        <v>passive</v>
      </c>
      <c r="D78" s="8">
        <f>IFERROR(__xludf.DUMMYFUNCTION("""COMPUTED_VALUE"""),0.0)</f>
        <v>0</v>
      </c>
      <c r="E78" s="8" t="str">
        <f>IFERROR(__xludf.DUMMYFUNCTION("""COMPUTED_VALUE"""),"head")</f>
        <v>head</v>
      </c>
      <c r="F78" s="8" t="str">
        <f>IFERROR(__xludf.DUMMYFUNCTION("""COMPUTED_VALUE"""),"")</f>
        <v/>
      </c>
    </row>
    <row r="79" ht="37.5" customHeight="1">
      <c r="A79" s="8" t="str">
        <f>IFERROR(__xludf.DUMMYFUNCTION("""COMPUTED_VALUE"""),"240_experimentaltreatment.anm2")</f>
        <v>240_experimentaltreatment.anm2</v>
      </c>
      <c r="B79" s="8">
        <f>IFERROR(__xludf.DUMMYFUNCTION("""COMPUTED_VALUE"""),240.0)</f>
        <v>240</v>
      </c>
      <c r="C79" s="8" t="str">
        <f>IFERROR(__xludf.DUMMYFUNCTION("""COMPUTED_VALUE"""),"passive")</f>
        <v>passive</v>
      </c>
      <c r="D79" s="8">
        <f>IFERROR(__xludf.DUMMYFUNCTION("""COMPUTED_VALUE"""),0.0)</f>
        <v>0</v>
      </c>
      <c r="E79" s="8" t="str">
        <f>IFERROR(__xludf.DUMMYFUNCTION("""COMPUTED_VALUE"""),"head")</f>
        <v>head</v>
      </c>
      <c r="F79" s="8" t="str">
        <f>IFERROR(__xludf.DUMMYFUNCTION("""COMPUTED_VALUE"""),"")</f>
        <v/>
      </c>
    </row>
    <row r="80" ht="37.5" customHeight="1">
      <c r="A80" s="8" t="str">
        <f>IFERROR(__xludf.DUMMYFUNCTION("""COMPUTED_VALUE"""),"299_taurus.anm2")</f>
        <v>299_taurus.anm2</v>
      </c>
      <c r="B80" s="8">
        <f>IFERROR(__xludf.DUMMYFUNCTION("""COMPUTED_VALUE"""),299.0)</f>
        <v>299</v>
      </c>
      <c r="C80" s="8" t="str">
        <f>IFERROR(__xludf.DUMMYFUNCTION("""COMPUTED_VALUE"""),"passive")</f>
        <v>passive</v>
      </c>
      <c r="D80" s="8">
        <f>IFERROR(__xludf.DUMMYFUNCTION("""COMPUTED_VALUE"""),0.0)</f>
        <v>0</v>
      </c>
      <c r="E80" s="8" t="str">
        <f>IFERROR(__xludf.DUMMYFUNCTION("""COMPUTED_VALUE"""),"head")</f>
        <v>head</v>
      </c>
      <c r="F80" s="8" t="str">
        <f>IFERROR(__xludf.DUMMYFUNCTION("""COMPUTED_VALUE"""),"")</f>
        <v/>
      </c>
    </row>
    <row r="81" ht="37.5" customHeight="1">
      <c r="A81" s="8" t="str">
        <f>IFERROR(__xludf.DUMMYFUNCTION("""COMPUTED_VALUE"""),"304_libra.anm2")</f>
        <v>304_libra.anm2</v>
      </c>
      <c r="B81" s="8">
        <f>IFERROR(__xludf.DUMMYFUNCTION("""COMPUTED_VALUE"""),304.0)</f>
        <v>304</v>
      </c>
      <c r="C81" s="8" t="str">
        <f>IFERROR(__xludf.DUMMYFUNCTION("""COMPUTED_VALUE"""),"passive")</f>
        <v>passive</v>
      </c>
      <c r="D81" s="8">
        <f>IFERROR(__xludf.DUMMYFUNCTION("""COMPUTED_VALUE"""),0.0)</f>
        <v>0</v>
      </c>
      <c r="E81" s="8" t="str">
        <f>IFERROR(__xludf.DUMMYFUNCTION("""COMPUTED_VALUE"""),"head")</f>
        <v>head</v>
      </c>
      <c r="F81" s="8" t="str">
        <f>IFERROR(__xludf.DUMMYFUNCTION("""COMPUTED_VALUE"""),"")</f>
        <v/>
      </c>
    </row>
    <row r="82" ht="37.5" customHeight="1">
      <c r="A82" s="8" t="str">
        <f>IFERROR(__xludf.DUMMYFUNCTION("""COMPUTED_VALUE"""),"305_scorpio.anm2")</f>
        <v>305_scorpio.anm2</v>
      </c>
      <c r="B82" s="8">
        <f>IFERROR(__xludf.DUMMYFUNCTION("""COMPUTED_VALUE"""),305.0)</f>
        <v>305</v>
      </c>
      <c r="C82" s="8" t="str">
        <f>IFERROR(__xludf.DUMMYFUNCTION("""COMPUTED_VALUE"""),"passive")</f>
        <v>passive</v>
      </c>
      <c r="D82" s="8">
        <f>IFERROR(__xludf.DUMMYFUNCTION("""COMPUTED_VALUE"""),0.0)</f>
        <v>0</v>
      </c>
      <c r="E82" s="8" t="str">
        <f>IFERROR(__xludf.DUMMYFUNCTION("""COMPUTED_VALUE"""),"head")</f>
        <v>head</v>
      </c>
      <c r="F82" s="8" t="str">
        <f>IFERROR(__xludf.DUMMYFUNCTION("""COMPUTED_VALUE"""),"")</f>
        <v/>
      </c>
    </row>
    <row r="83" ht="37.5" customHeight="1">
      <c r="A83" s="8" t="str">
        <f>IFERROR(__xludf.DUMMYFUNCTION("""COMPUTED_VALUE"""),"307_capricorn.anm2")</f>
        <v>307_capricorn.anm2</v>
      </c>
      <c r="B83" s="8">
        <f>IFERROR(__xludf.DUMMYFUNCTION("""COMPUTED_VALUE"""),307.0)</f>
        <v>307</v>
      </c>
      <c r="C83" s="8" t="str">
        <f>IFERROR(__xludf.DUMMYFUNCTION("""COMPUTED_VALUE"""),"passive")</f>
        <v>passive</v>
      </c>
      <c r="D83" s="8">
        <f>IFERROR(__xludf.DUMMYFUNCTION("""COMPUTED_VALUE"""),0.0)</f>
        <v>0</v>
      </c>
      <c r="E83" s="8" t="str">
        <f>IFERROR(__xludf.DUMMYFUNCTION("""COMPUTED_VALUE"""),"head")</f>
        <v>head</v>
      </c>
      <c r="F83" s="8" t="str">
        <f>IFERROR(__xludf.DUMMYFUNCTION("""COMPUTED_VALUE"""),"")</f>
        <v/>
      </c>
    </row>
    <row r="84" ht="37.5" customHeight="1">
      <c r="A84" s="8" t="str">
        <f>IFERROR(__xludf.DUMMYFUNCTION("""COMPUTED_VALUE"""),"311_judasshadow.anm2")</f>
        <v>311_judasshadow.anm2</v>
      </c>
      <c r="B84" s="8">
        <f>IFERROR(__xludf.DUMMYFUNCTION("""COMPUTED_VALUE"""),311.0)</f>
        <v>311</v>
      </c>
      <c r="C84" s="8" t="str">
        <f>IFERROR(__xludf.DUMMYFUNCTION("""COMPUTED_VALUE"""),"passive")</f>
        <v>passive</v>
      </c>
      <c r="D84" s="8">
        <f>IFERROR(__xludf.DUMMYFUNCTION("""COMPUTED_VALUE"""),0.0)</f>
        <v>0</v>
      </c>
      <c r="E84" s="8" t="str">
        <f>IFERROR(__xludf.DUMMYFUNCTION("""COMPUTED_VALUE"""),"head")</f>
        <v>head</v>
      </c>
      <c r="F84" s="8" t="str">
        <f>IFERROR(__xludf.DUMMYFUNCTION("""COMPUTED_VALUE"""),"")</f>
        <v/>
      </c>
    </row>
    <row r="85" ht="37.5" customHeight="1">
      <c r="A85" s="8" t="str">
        <f>IFERROR(__xludf.DUMMYFUNCTION("""COMPUTED_VALUE"""),"317_mysteriousliquid.anm2")</f>
        <v>317_mysteriousliquid.anm2</v>
      </c>
      <c r="B85" s="8">
        <f>IFERROR(__xludf.DUMMYFUNCTION("""COMPUTED_VALUE"""),317.0)</f>
        <v>317</v>
      </c>
      <c r="C85" s="8" t="str">
        <f>IFERROR(__xludf.DUMMYFUNCTION("""COMPUTED_VALUE"""),"passive")</f>
        <v>passive</v>
      </c>
      <c r="D85" s="8">
        <f>IFERROR(__xludf.DUMMYFUNCTION("""COMPUTED_VALUE"""),0.0)</f>
        <v>0</v>
      </c>
      <c r="E85" s="8" t="str">
        <f>IFERROR(__xludf.DUMMYFUNCTION("""COMPUTED_VALUE"""),"head")</f>
        <v>head</v>
      </c>
      <c r="F85" s="8" t="str">
        <f>IFERROR(__xludf.DUMMYFUNCTION("""COMPUTED_VALUE"""),"")</f>
        <v/>
      </c>
    </row>
    <row r="86" ht="37.5" customHeight="1">
      <c r="A86" s="8" t="str">
        <f>IFERROR(__xludf.DUMMYFUNCTION("""COMPUTED_VALUE"""),"326_breath of life.anm2")</f>
        <v>326_breath of life.anm2</v>
      </c>
      <c r="B86" s="8">
        <f>IFERROR(__xludf.DUMMYFUNCTION("""COMPUTED_VALUE"""),326.0)</f>
        <v>326</v>
      </c>
      <c r="C86" s="8" t="str">
        <f>IFERROR(__xludf.DUMMYFUNCTION("""COMPUTED_VALUE"""),"active")</f>
        <v>active</v>
      </c>
      <c r="D86" s="8">
        <f>IFERROR(__xludf.DUMMYFUNCTION("""COMPUTED_VALUE"""),0.0)</f>
        <v>0</v>
      </c>
      <c r="E86" s="8" t="str">
        <f>IFERROR(__xludf.DUMMYFUNCTION("""COMPUTED_VALUE"""),"head")</f>
        <v>head</v>
      </c>
      <c r="F86" s="8" t="str">
        <f>IFERROR(__xludf.DUMMYFUNCTION("""COMPUTED_VALUE"""),"")</f>
        <v/>
      </c>
    </row>
    <row r="87" ht="37.5" customHeight="1">
      <c r="A87" s="8" t="str">
        <f>IFERROR(__xludf.DUMMYFUNCTION("""COMPUTED_VALUE"""),"333_mind.anm2")</f>
        <v>333_mind.anm2</v>
      </c>
      <c r="B87" s="8">
        <f>IFERROR(__xludf.DUMMYFUNCTION("""COMPUTED_VALUE"""),333.0)</f>
        <v>333</v>
      </c>
      <c r="C87" s="8" t="str">
        <f>IFERROR(__xludf.DUMMYFUNCTION("""COMPUTED_VALUE"""),"passive")</f>
        <v>passive</v>
      </c>
      <c r="D87" s="8">
        <f>IFERROR(__xludf.DUMMYFUNCTION("""COMPUTED_VALUE"""),0.0)</f>
        <v>0</v>
      </c>
      <c r="E87" s="8" t="str">
        <f>IFERROR(__xludf.DUMMYFUNCTION("""COMPUTED_VALUE"""),"head")</f>
        <v>head</v>
      </c>
      <c r="F87" s="8" t="str">
        <f>IFERROR(__xludf.DUMMYFUNCTION("""COMPUTED_VALUE"""),"")</f>
        <v/>
      </c>
    </row>
    <row r="88" ht="37.5" customHeight="1">
      <c r="A88" s="8" t="str">
        <f>IFERROR(__xludf.DUMMYFUNCTION("""COMPUTED_VALUE"""),"336_deadonion.anm2")</f>
        <v>336_deadonion.anm2</v>
      </c>
      <c r="B88" s="8">
        <f>IFERROR(__xludf.DUMMYFUNCTION("""COMPUTED_VALUE"""),336.0)</f>
        <v>336</v>
      </c>
      <c r="C88" s="8" t="str">
        <f>IFERROR(__xludf.DUMMYFUNCTION("""COMPUTED_VALUE"""),"passive")</f>
        <v>passive</v>
      </c>
      <c r="D88" s="8">
        <f>IFERROR(__xludf.DUMMYFUNCTION("""COMPUTED_VALUE"""),0.0)</f>
        <v>0</v>
      </c>
      <c r="E88" s="8" t="str">
        <f>IFERROR(__xludf.DUMMYFUNCTION("""COMPUTED_VALUE"""),"head")</f>
        <v>head</v>
      </c>
      <c r="F88" s="8" t="str">
        <f>IFERROR(__xludf.DUMMYFUNCTION("""COMPUTED_VALUE"""),"")</f>
        <v/>
      </c>
    </row>
    <row r="89" ht="37.5" customHeight="1">
      <c r="A89" s="8" t="str">
        <f>IFERROR(__xludf.DUMMYFUNCTION("""COMPUTED_VALUE"""),"340_caffeine pill.anm2")</f>
        <v>340_caffeine pill.anm2</v>
      </c>
      <c r="B89" s="8">
        <f>IFERROR(__xludf.DUMMYFUNCTION("""COMPUTED_VALUE"""),340.0)</f>
        <v>340</v>
      </c>
      <c r="C89" s="8" t="str">
        <f>IFERROR(__xludf.DUMMYFUNCTION("""COMPUTED_VALUE"""),"passive")</f>
        <v>passive</v>
      </c>
      <c r="D89" s="8">
        <f>IFERROR(__xludf.DUMMYFUNCTION("""COMPUTED_VALUE"""),0.0)</f>
        <v>0</v>
      </c>
      <c r="E89" s="8" t="str">
        <f>IFERROR(__xludf.DUMMYFUNCTION("""COMPUTED_VALUE"""),"head")</f>
        <v>head</v>
      </c>
      <c r="F89" s="8" t="str">
        <f>IFERROR(__xludf.DUMMYFUNCTION("""COMPUTED_VALUE"""),"")</f>
        <v/>
      </c>
    </row>
    <row r="90" ht="37.5" customHeight="1">
      <c r="A90" s="8" t="str">
        <f>IFERROR(__xludf.DUMMYFUNCTION("""COMPUTED_VALUE"""),"341_torn photo.anm2")</f>
        <v>341_torn photo.anm2</v>
      </c>
      <c r="B90" s="8">
        <f>IFERROR(__xludf.DUMMYFUNCTION("""COMPUTED_VALUE"""),341.0)</f>
        <v>341</v>
      </c>
      <c r="C90" s="8" t="str">
        <f>IFERROR(__xludf.DUMMYFUNCTION("""COMPUTED_VALUE"""),"passive")</f>
        <v>passive</v>
      </c>
      <c r="D90" s="8">
        <f>IFERROR(__xludf.DUMMYFUNCTION("""COMPUTED_VALUE"""),0.0)</f>
        <v>0</v>
      </c>
      <c r="E90" s="8" t="str">
        <f>IFERROR(__xludf.DUMMYFUNCTION("""COMPUTED_VALUE"""),"head")</f>
        <v>head</v>
      </c>
      <c r="F90" s="8" t="str">
        <f>IFERROR(__xludf.DUMMYFUNCTION("""COMPUTED_VALUE"""),"")</f>
        <v/>
      </c>
    </row>
    <row r="91" ht="37.5" customHeight="1">
      <c r="A91" s="8" t="str">
        <f>IFERROR(__xludf.DUMMYFUNCTION("""COMPUTED_VALUE"""),"342_blue cap.anm2")</f>
        <v>342_blue cap.anm2</v>
      </c>
      <c r="B91" s="8">
        <f>IFERROR(__xludf.DUMMYFUNCTION("""COMPUTED_VALUE"""),342.0)</f>
        <v>342</v>
      </c>
      <c r="C91" s="8" t="str">
        <f>IFERROR(__xludf.DUMMYFUNCTION("""COMPUTED_VALUE"""),"passive")</f>
        <v>passive</v>
      </c>
      <c r="D91" s="8">
        <f>IFERROR(__xludf.DUMMYFUNCTION("""COMPUTED_VALUE"""),0.0)</f>
        <v>0</v>
      </c>
      <c r="E91" s="8" t="str">
        <f>IFERROR(__xludf.DUMMYFUNCTION("""COMPUTED_VALUE"""),"head")</f>
        <v>head</v>
      </c>
      <c r="F91" s="8" t="str">
        <f>IFERROR(__xludf.DUMMYFUNCTION("""COMPUTED_VALUE"""),"")</f>
        <v/>
      </c>
    </row>
    <row r="92" ht="37.5" customHeight="1">
      <c r="A92" s="8" t="str">
        <f>IFERROR(__xludf.DUMMYFUNCTION("""COMPUTED_VALUE"""),"358_thewiz.anm2")</f>
        <v>358_thewiz.anm2</v>
      </c>
      <c r="B92" s="8">
        <f>IFERROR(__xludf.DUMMYFUNCTION("""COMPUTED_VALUE"""),358.0)</f>
        <v>358</v>
      </c>
      <c r="C92" s="8" t="str">
        <f>IFERROR(__xludf.DUMMYFUNCTION("""COMPUTED_VALUE"""),"passive")</f>
        <v>passive</v>
      </c>
      <c r="D92" s="8">
        <f>IFERROR(__xludf.DUMMYFUNCTION("""COMPUTED_VALUE"""),0.0)</f>
        <v>0</v>
      </c>
      <c r="E92" s="8" t="str">
        <f>IFERROR(__xludf.DUMMYFUNCTION("""COMPUTED_VALUE"""),"head")</f>
        <v>head</v>
      </c>
      <c r="F92" s="8" t="str">
        <f>IFERROR(__xludf.DUMMYFUNCTION("""COMPUTED_VALUE"""),"")</f>
        <v/>
      </c>
    </row>
    <row r="93" ht="37.5" customHeight="1">
      <c r="A93" s="8" t="str">
        <f>IFERROR(__xludf.DUMMYFUNCTION("""COMPUTED_VALUE"""),"369_continuum.anm2")</f>
        <v>369_continuum.anm2</v>
      </c>
      <c r="B93" s="8">
        <f>IFERROR(__xludf.DUMMYFUNCTION("""COMPUTED_VALUE"""),369.0)</f>
        <v>369</v>
      </c>
      <c r="C93" s="8" t="str">
        <f>IFERROR(__xludf.DUMMYFUNCTION("""COMPUTED_VALUE"""),"passive")</f>
        <v>passive</v>
      </c>
      <c r="D93" s="8">
        <f>IFERROR(__xludf.DUMMYFUNCTION("""COMPUTED_VALUE"""),0.0)</f>
        <v>0</v>
      </c>
      <c r="E93" s="8" t="str">
        <f>IFERROR(__xludf.DUMMYFUNCTION("""COMPUTED_VALUE"""),"head")</f>
        <v>head</v>
      </c>
      <c r="F93" s="8" t="str">
        <f>IFERROR(__xludf.DUMMYFUNCTION("""COMPUTED_VALUE"""),"")</f>
        <v/>
      </c>
    </row>
    <row r="94" ht="37.5" customHeight="1">
      <c r="A94" s="8" t="str">
        <f>IFERROR(__xludf.DUMMYFUNCTION("""COMPUTED_VALUE"""),"398_godsflesh.anm2")</f>
        <v>398_godsflesh.anm2</v>
      </c>
      <c r="B94" s="8">
        <f>IFERROR(__xludf.DUMMYFUNCTION("""COMPUTED_VALUE"""),398.0)</f>
        <v>398</v>
      </c>
      <c r="C94" s="8" t="str">
        <f>IFERROR(__xludf.DUMMYFUNCTION("""COMPUTED_VALUE"""),"passive")</f>
        <v>passive</v>
      </c>
      <c r="D94" s="8">
        <f>IFERROR(__xludf.DUMMYFUNCTION("""COMPUTED_VALUE"""),0.0)</f>
        <v>0</v>
      </c>
      <c r="E94" s="8" t="str">
        <f>IFERROR(__xludf.DUMMYFUNCTION("""COMPUTED_VALUE"""),"head")</f>
        <v>head</v>
      </c>
      <c r="F94" s="8" t="str">
        <f>IFERROR(__xludf.DUMMYFUNCTION("""COMPUTED_VALUE"""),"")</f>
        <v/>
      </c>
    </row>
    <row r="95" ht="37.5" customHeight="1">
      <c r="A95" s="8" t="str">
        <f>IFERROR(__xludf.DUMMYFUNCTION("""COMPUTED_VALUE"""),"399_mawofthevoid.anm2")</f>
        <v>399_mawofthevoid.anm2</v>
      </c>
      <c r="B95" s="8">
        <f>IFERROR(__xludf.DUMMYFUNCTION("""COMPUTED_VALUE"""),399.0)</f>
        <v>399</v>
      </c>
      <c r="C95" s="8" t="str">
        <f>IFERROR(__xludf.DUMMYFUNCTION("""COMPUTED_VALUE"""),"passive")</f>
        <v>passive</v>
      </c>
      <c r="D95" s="8">
        <f>IFERROR(__xludf.DUMMYFUNCTION("""COMPUTED_VALUE"""),200.0)</f>
        <v>200</v>
      </c>
      <c r="E95" s="8" t="str">
        <f>IFERROR(__xludf.DUMMYFUNCTION("""COMPUTED_VALUE"""),"head")</f>
        <v>head</v>
      </c>
      <c r="F95" s="8" t="str">
        <f>IFERROR(__xludf.DUMMYFUNCTION("""COMPUTED_VALUE"""),"")</f>
        <v/>
      </c>
    </row>
    <row r="96" ht="37.5" customHeight="1">
      <c r="A96" s="8" t="str">
        <f>IFERROR(__xludf.DUMMYFUNCTION("""COMPUTED_VALUE"""),"402_chaos.anm2")</f>
        <v>402_chaos.anm2</v>
      </c>
      <c r="B96" s="8">
        <f>IFERROR(__xludf.DUMMYFUNCTION("""COMPUTED_VALUE"""),402.0)</f>
        <v>402</v>
      </c>
      <c r="C96" s="8" t="str">
        <f>IFERROR(__xludf.DUMMYFUNCTION("""COMPUTED_VALUE"""),"passive")</f>
        <v>passive</v>
      </c>
      <c r="D96" s="8">
        <f>IFERROR(__xludf.DUMMYFUNCTION("""COMPUTED_VALUE"""),0.0)</f>
        <v>0</v>
      </c>
      <c r="E96" s="8" t="str">
        <f>IFERROR(__xludf.DUMMYFUNCTION("""COMPUTED_VALUE"""),"head")</f>
        <v>head</v>
      </c>
      <c r="F96" s="8" t="str">
        <f>IFERROR(__xludf.DUMMYFUNCTION("""COMPUTED_VALUE"""),"")</f>
        <v/>
      </c>
    </row>
    <row r="97" ht="37.5" customHeight="1">
      <c r="A97" s="8" t="str">
        <f>IFERROR(__xludf.DUMMYFUNCTION("""COMPUTED_VALUE"""),"418_fruitcake.anm2")</f>
        <v>418_fruitcake.anm2</v>
      </c>
      <c r="B97" s="8">
        <f>IFERROR(__xludf.DUMMYFUNCTION("""COMPUTED_VALUE"""),418.0)</f>
        <v>418</v>
      </c>
      <c r="C97" s="8" t="str">
        <f>IFERROR(__xludf.DUMMYFUNCTION("""COMPUTED_VALUE"""),"passive")</f>
        <v>passive</v>
      </c>
      <c r="D97" s="8">
        <f>IFERROR(__xludf.DUMMYFUNCTION("""COMPUTED_VALUE"""),0.0)</f>
        <v>0</v>
      </c>
      <c r="E97" s="8" t="str">
        <f>IFERROR(__xludf.DUMMYFUNCTION("""COMPUTED_VALUE"""),"head")</f>
        <v>head</v>
      </c>
      <c r="F97" s="8" t="str">
        <f>IFERROR(__xludf.DUMMYFUNCTION("""COMPUTED_VALUE"""),"")</f>
        <v/>
      </c>
    </row>
    <row r="98" ht="37.5" customHeight="1">
      <c r="A98" s="8" t="str">
        <f>IFERROR(__xludf.DUMMYFUNCTION("""COMPUTED_VALUE"""),"424_sackhead.anm2")</f>
        <v>424_sackhead.anm2</v>
      </c>
      <c r="B98" s="8">
        <f>IFERROR(__xludf.DUMMYFUNCTION("""COMPUTED_VALUE"""),424.0)</f>
        <v>424</v>
      </c>
      <c r="C98" s="8" t="str">
        <f>IFERROR(__xludf.DUMMYFUNCTION("""COMPUTED_VALUE"""),"passive")</f>
        <v>passive</v>
      </c>
      <c r="D98" s="8">
        <f>IFERROR(__xludf.DUMMYFUNCTION("""COMPUTED_VALUE"""),0.0)</f>
        <v>0</v>
      </c>
      <c r="E98" s="8" t="str">
        <f>IFERROR(__xludf.DUMMYFUNCTION("""COMPUTED_VALUE"""),"head")</f>
        <v>head</v>
      </c>
      <c r="F98" s="8" t="str">
        <f>IFERROR(__xludf.DUMMYFUNCTION("""COMPUTED_VALUE"""),"")</f>
        <v/>
      </c>
    </row>
    <row r="99" ht="37.5" customHeight="1">
      <c r="A99" s="8" t="str">
        <f>IFERROR(__xludf.DUMMYFUNCTION("""COMPUTED_VALUE"""),"457_conehead.anm2")</f>
        <v>457_conehead.anm2</v>
      </c>
      <c r="B99" s="8">
        <f>IFERROR(__xludf.DUMMYFUNCTION("""COMPUTED_VALUE"""),457.0)</f>
        <v>457</v>
      </c>
      <c r="C99" s="8" t="str">
        <f>IFERROR(__xludf.DUMMYFUNCTION("""COMPUTED_VALUE"""),"passive")</f>
        <v>passive</v>
      </c>
      <c r="D99" s="8">
        <f>IFERROR(__xludf.DUMMYFUNCTION("""COMPUTED_VALUE"""),0.0)</f>
        <v>0</v>
      </c>
      <c r="E99" s="8" t="str">
        <f>IFERROR(__xludf.DUMMYFUNCTION("""COMPUTED_VALUE"""),"head")</f>
        <v>head</v>
      </c>
      <c r="F99" s="8" t="str">
        <f>IFERROR(__xludf.DUMMYFUNCTION("""COMPUTED_VALUE"""),"")</f>
        <v/>
      </c>
    </row>
    <row r="100" ht="37.5" customHeight="1">
      <c r="A100" s="8" t="str">
        <f>IFERROR(__xludf.DUMMYFUNCTION("""COMPUTED_VALUE"""),"496_euthanasia.anm2")</f>
        <v>496_euthanasia.anm2</v>
      </c>
      <c r="B100" s="8">
        <f>IFERROR(__xludf.DUMMYFUNCTION("""COMPUTED_VALUE"""),496.0)</f>
        <v>496</v>
      </c>
      <c r="C100" s="8" t="str">
        <f>IFERROR(__xludf.DUMMYFUNCTION("""COMPUTED_VALUE"""),"passive")</f>
        <v>passive</v>
      </c>
      <c r="D100" s="8">
        <f>IFERROR(__xludf.DUMMYFUNCTION("""COMPUTED_VALUE"""),0.0)</f>
        <v>0</v>
      </c>
      <c r="E100" s="8" t="str">
        <f>IFERROR(__xludf.DUMMYFUNCTION("""COMPUTED_VALUE"""),"head")</f>
        <v>head</v>
      </c>
      <c r="F100" s="8" t="str">
        <f>IFERROR(__xludf.DUMMYFUNCTION("""COMPUTED_VALUE"""),"")</f>
        <v/>
      </c>
    </row>
    <row r="101" ht="37.5" customHeight="1">
      <c r="A101" s="8" t="str">
        <f>IFERROR(__xludf.DUMMYFUNCTION("""COMPUTED_VALUE"""),"510_delirious.anm2")</f>
        <v>510_delirious.anm2</v>
      </c>
      <c r="B101" s="8">
        <f>IFERROR(__xludf.DUMMYFUNCTION("""COMPUTED_VALUE"""),510.0)</f>
        <v>510</v>
      </c>
      <c r="C101" s="8" t="str">
        <f>IFERROR(__xludf.DUMMYFUNCTION("""COMPUTED_VALUE"""),"active")</f>
        <v>active</v>
      </c>
      <c r="D101" s="8">
        <f>IFERROR(__xludf.DUMMYFUNCTION("""COMPUTED_VALUE"""),0.0)</f>
        <v>0</v>
      </c>
      <c r="E101" s="8" t="str">
        <f>IFERROR(__xludf.DUMMYFUNCTION("""COMPUTED_VALUE"""),"head")</f>
        <v>head</v>
      </c>
      <c r="F101" s="8" t="str">
        <f>IFERROR(__xludf.DUMMYFUNCTION("""COMPUTED_VALUE"""),"")</f>
        <v/>
      </c>
    </row>
    <row r="102" ht="37.5" customHeight="1">
      <c r="A102" s="8" t="str">
        <f>IFERROR(__xludf.DUMMYFUNCTION("""COMPUTED_VALUE"""),"525_leprosy.anm2")</f>
        <v>525_leprosy.anm2</v>
      </c>
      <c r="B102" s="8">
        <f>IFERROR(__xludf.DUMMYFUNCTION("""COMPUTED_VALUE"""),525.0)</f>
        <v>525</v>
      </c>
      <c r="C102" s="8" t="str">
        <f>IFERROR(__xludf.DUMMYFUNCTION("""COMPUTED_VALUE"""),"passive")</f>
        <v>passive</v>
      </c>
      <c r="D102" s="8">
        <f>IFERROR(__xludf.DUMMYFUNCTION("""COMPUTED_VALUE"""),0.0)</f>
        <v>0</v>
      </c>
      <c r="E102" s="8" t="str">
        <f>IFERROR(__xludf.DUMMYFUNCTION("""COMPUTED_VALUE"""),"head")</f>
        <v>head</v>
      </c>
      <c r="F102" s="8" t="str">
        <f>IFERROR(__xludf.DUMMYFUNCTION("""COMPUTED_VALUE"""),"")</f>
        <v/>
      </c>
    </row>
    <row r="103" ht="37.5" customHeight="1">
      <c r="A103" s="8" t="str">
        <f>IFERROR(__xludf.DUMMYFUNCTION("""COMPUTED_VALUE"""),"529_pop.anm2")</f>
        <v>529_pop.anm2</v>
      </c>
      <c r="B103" s="8">
        <f>IFERROR(__xludf.DUMMYFUNCTION("""COMPUTED_VALUE"""),529.0)</f>
        <v>529</v>
      </c>
      <c r="C103" s="8" t="str">
        <f>IFERROR(__xludf.DUMMYFUNCTION("""COMPUTED_VALUE"""),"passive")</f>
        <v>passive</v>
      </c>
      <c r="D103" s="8">
        <f>IFERROR(__xludf.DUMMYFUNCTION("""COMPUTED_VALUE"""),0.0)</f>
        <v>0</v>
      </c>
      <c r="E103" s="8" t="str">
        <f>IFERROR(__xludf.DUMMYFUNCTION("""COMPUTED_VALUE"""),"head")</f>
        <v>head</v>
      </c>
      <c r="F103" s="8" t="str">
        <f>IFERROR(__xludf.DUMMYFUNCTION("""COMPUTED_VALUE"""),"")</f>
        <v/>
      </c>
    </row>
    <row r="104" ht="37.5" customHeight="1">
      <c r="A104" s="8" t="str">
        <f>IFERROR(__xludf.DUMMYFUNCTION("""COMPUTED_VALUE"""),"533_trisagion.anm2")</f>
        <v>533_trisagion.anm2</v>
      </c>
      <c r="B104" s="8">
        <f>IFERROR(__xludf.DUMMYFUNCTION("""COMPUTED_VALUE"""),533.0)</f>
        <v>533</v>
      </c>
      <c r="C104" s="8" t="str">
        <f>IFERROR(__xludf.DUMMYFUNCTION("""COMPUTED_VALUE"""),"passive")</f>
        <v>passive</v>
      </c>
      <c r="D104" s="8">
        <f>IFERROR(__xludf.DUMMYFUNCTION("""COMPUTED_VALUE"""),0.0)</f>
        <v>0</v>
      </c>
      <c r="E104" s="8" t="str">
        <f>IFERROR(__xludf.DUMMYFUNCTION("""COMPUTED_VALUE"""),"head")</f>
        <v>head</v>
      </c>
      <c r="F104" s="8" t="str">
        <f>IFERROR(__xludf.DUMMYFUNCTION("""COMPUTED_VALUE"""),"")</f>
        <v/>
      </c>
    </row>
    <row r="105" ht="37.5" customHeight="1">
      <c r="A105" s="8" t="str">
        <f>IFERROR(__xludf.DUMMYFUNCTION("""COMPUTED_VALUE"""),"001x_2spooky.anm2")</f>
        <v>001x_2spooky.anm2</v>
      </c>
      <c r="B105" s="8">
        <f>IFERROR(__xludf.DUMMYFUNCTION("""COMPUTED_VALUE"""),554.0)</f>
        <v>554</v>
      </c>
      <c r="C105" s="8" t="str">
        <f>IFERROR(__xludf.DUMMYFUNCTION("""COMPUTED_VALUE"""),"passive")</f>
        <v>passive</v>
      </c>
      <c r="D105" s="8">
        <f>IFERROR(__xludf.DUMMYFUNCTION("""COMPUTED_VALUE"""),20.0)</f>
        <v>20</v>
      </c>
      <c r="E105" s="8" t="str">
        <f>IFERROR(__xludf.DUMMYFUNCTION("""COMPUTED_VALUE"""),"head")</f>
        <v>head</v>
      </c>
      <c r="F105" s="8" t="str">
        <f>IFERROR(__xludf.DUMMYFUNCTION("""COMPUTED_VALUE"""),"")</f>
        <v/>
      </c>
    </row>
    <row r="106" ht="37.5" customHeight="1">
      <c r="A106" s="8" t="str">
        <f>IFERROR(__xludf.DUMMYFUNCTION("""COMPUTED_VALUE"""),"009x_rockbottom.anm2")</f>
        <v>009x_rockbottom.anm2</v>
      </c>
      <c r="B106" s="8">
        <f>IFERROR(__xludf.DUMMYFUNCTION("""COMPUTED_VALUE"""),562.0)</f>
        <v>562</v>
      </c>
      <c r="C106" s="8" t="str">
        <f>IFERROR(__xludf.DUMMYFUNCTION("""COMPUTED_VALUE"""),"passive")</f>
        <v>passive</v>
      </c>
      <c r="D106" s="8">
        <f>IFERROR(__xludf.DUMMYFUNCTION("""COMPUTED_VALUE"""),0.0)</f>
        <v>0</v>
      </c>
      <c r="E106" s="8" t="str">
        <f>IFERROR(__xludf.DUMMYFUNCTION("""COMPUTED_VALUE"""),"head")</f>
        <v>head</v>
      </c>
      <c r="F106" s="8" t="str">
        <f>IFERROR(__xludf.DUMMYFUNCTION("""COMPUTED_VALUE"""),"")</f>
        <v/>
      </c>
    </row>
    <row r="107" ht="37.5" customHeight="1">
      <c r="A107" s="8" t="str">
        <f>IFERROR(__xludf.DUMMYFUNCTION("""COMPUTED_VALUE"""),"011x_soap.anm2")</f>
        <v>011x_soap.anm2</v>
      </c>
      <c r="B107" s="8">
        <f>IFERROR(__xludf.DUMMYFUNCTION("""COMPUTED_VALUE"""),564.0)</f>
        <v>564</v>
      </c>
      <c r="C107" s="8" t="str">
        <f>IFERROR(__xludf.DUMMYFUNCTION("""COMPUTED_VALUE"""),"passive")</f>
        <v>passive</v>
      </c>
      <c r="D107" s="8">
        <f>IFERROR(__xludf.DUMMYFUNCTION("""COMPUTED_VALUE"""),0.0)</f>
        <v>0</v>
      </c>
      <c r="E107" s="8" t="str">
        <f>IFERROR(__xludf.DUMMYFUNCTION("""COMPUTED_VALUE"""),"head")</f>
        <v>head</v>
      </c>
      <c r="F107" s="8" t="str">
        <f>IFERROR(__xludf.DUMMYFUNCTION("""COMPUTED_VALUE"""),"")</f>
        <v/>
      </c>
    </row>
    <row r="108" ht="37.5" customHeight="1">
      <c r="A108" s="8" t="str">
        <f>IFERROR(__xludf.DUMMYFUNCTION("""COMPUTED_VALUE"""),"017x_playdohcookie.anm2")</f>
        <v>017x_playdohcookie.anm2</v>
      </c>
      <c r="B108" s="8">
        <f>IFERROR(__xludf.DUMMYFUNCTION("""COMPUTED_VALUE"""),570.0)</f>
        <v>570</v>
      </c>
      <c r="C108" s="8" t="str">
        <f>IFERROR(__xludf.DUMMYFUNCTION("""COMPUTED_VALUE"""),"passive")</f>
        <v>passive</v>
      </c>
      <c r="D108" s="8">
        <f>IFERROR(__xludf.DUMMYFUNCTION("""COMPUTED_VALUE"""),0.0)</f>
        <v>0</v>
      </c>
      <c r="E108" s="8" t="str">
        <f>IFERROR(__xludf.DUMMYFUNCTION("""COMPUTED_VALUE"""),"head")</f>
        <v>head</v>
      </c>
      <c r="F108" s="8" t="str">
        <f>IFERROR(__xludf.DUMMYFUNCTION("""COMPUTED_VALUE"""),"")</f>
        <v/>
      </c>
    </row>
    <row r="109" ht="37.5" customHeight="1">
      <c r="A109" s="8" t="str">
        <f>IFERROR(__xludf.DUMMYFUNCTION("""COMPUTED_VALUE"""),"022x_theintruder.anm2")</f>
        <v>022x_theintruder.anm2</v>
      </c>
      <c r="B109" s="8">
        <f>IFERROR(__xludf.DUMMYFUNCTION("""COMPUTED_VALUE"""),575.0)</f>
        <v>575</v>
      </c>
      <c r="C109" s="8" t="str">
        <f>IFERROR(__xludf.DUMMYFUNCTION("""COMPUTED_VALUE"""),"familiar")</f>
        <v>familiar</v>
      </c>
      <c r="D109" s="8">
        <f>IFERROR(__xludf.DUMMYFUNCTION("""COMPUTED_VALUE"""),20.0)</f>
        <v>20</v>
      </c>
      <c r="E109" s="8" t="str">
        <f>IFERROR(__xludf.DUMMYFUNCTION("""COMPUTED_VALUE"""),"head")</f>
        <v>head</v>
      </c>
      <c r="F109" s="8" t="str">
        <f>IFERROR(__xludf.DUMMYFUNCTION("""COMPUTED_VALUE"""),"")</f>
        <v/>
      </c>
    </row>
    <row r="110" ht="37.5" customHeight="1">
      <c r="A110" s="8" t="str">
        <f>IFERROR(__xludf.DUMMYFUNCTION("""COMPUTED_VALUE"""),"036x_luna.anm2")</f>
        <v>036x_luna.anm2</v>
      </c>
      <c r="B110" s="8">
        <f>IFERROR(__xludf.DUMMYFUNCTION("""COMPUTED_VALUE"""),589.0)</f>
        <v>589</v>
      </c>
      <c r="C110" s="8" t="str">
        <f>IFERROR(__xludf.DUMMYFUNCTION("""COMPUTED_VALUE"""),"passive")</f>
        <v>passive</v>
      </c>
      <c r="D110" s="8">
        <f>IFERROR(__xludf.DUMMYFUNCTION("""COMPUTED_VALUE"""),0.0)</f>
        <v>0</v>
      </c>
      <c r="E110" s="8" t="str">
        <f>IFERROR(__xludf.DUMMYFUNCTION("""COMPUTED_VALUE"""),"head")</f>
        <v>head</v>
      </c>
      <c r="F110" s="8" t="str">
        <f>IFERROR(__xludf.DUMMYFUNCTION("""COMPUTED_VALUE"""),"")</f>
        <v/>
      </c>
    </row>
    <row r="111" ht="37.5" customHeight="1">
      <c r="A111" s="8" t="str">
        <f>IFERROR(__xludf.DUMMYFUNCTION("""COMPUTED_VALUE"""),"038x_venus.anm2")</f>
        <v>038x_venus.anm2</v>
      </c>
      <c r="B111" s="8">
        <f>IFERROR(__xludf.DUMMYFUNCTION("""COMPUTED_VALUE"""),591.0)</f>
        <v>591</v>
      </c>
      <c r="C111" s="8" t="str">
        <f>IFERROR(__xludf.DUMMYFUNCTION("""COMPUTED_VALUE"""),"passive")</f>
        <v>passive</v>
      </c>
      <c r="D111" s="8">
        <f>IFERROR(__xludf.DUMMYFUNCTION("""COMPUTED_VALUE"""),20.0)</f>
        <v>20</v>
      </c>
      <c r="E111" s="8" t="str">
        <f>IFERROR(__xludf.DUMMYFUNCTION("""COMPUTED_VALUE"""),"head")</f>
        <v>head</v>
      </c>
      <c r="F111" s="8" t="str">
        <f>IFERROR(__xludf.DUMMYFUNCTION("""COMPUTED_VALUE"""),"")</f>
        <v/>
      </c>
    </row>
    <row r="112" ht="37.5" customHeight="1">
      <c r="A112" s="8" t="str">
        <f>IFERROR(__xludf.DUMMYFUNCTION("""COMPUTED_VALUE"""),"039x_terra.anm2")</f>
        <v>039x_terra.anm2</v>
      </c>
      <c r="B112" s="8">
        <f>IFERROR(__xludf.DUMMYFUNCTION("""COMPUTED_VALUE"""),592.0)</f>
        <v>592</v>
      </c>
      <c r="C112" s="8" t="str">
        <f>IFERROR(__xludf.DUMMYFUNCTION("""COMPUTED_VALUE"""),"passive")</f>
        <v>passive</v>
      </c>
      <c r="D112" s="8">
        <f>IFERROR(__xludf.DUMMYFUNCTION("""COMPUTED_VALUE"""),1.0)</f>
        <v>1</v>
      </c>
      <c r="E112" s="8" t="str">
        <f>IFERROR(__xludf.DUMMYFUNCTION("""COMPUTED_VALUE"""),"head")</f>
        <v>head</v>
      </c>
      <c r="F112" s="8" t="str">
        <f>IFERROR(__xludf.DUMMYFUNCTION("""COMPUTED_VALUE"""),"")</f>
        <v/>
      </c>
    </row>
    <row r="113" ht="37.5" customHeight="1">
      <c r="A113" s="8" t="str">
        <f>IFERROR(__xludf.DUMMYFUNCTION("""COMPUTED_VALUE"""),"040x_mars.anm2")</f>
        <v>040x_mars.anm2</v>
      </c>
      <c r="B113" s="8">
        <f>IFERROR(__xludf.DUMMYFUNCTION("""COMPUTED_VALUE"""),593.0)</f>
        <v>593</v>
      </c>
      <c r="C113" s="8" t="str">
        <f>IFERROR(__xludf.DUMMYFUNCTION("""COMPUTED_VALUE"""),"passive")</f>
        <v>passive</v>
      </c>
      <c r="D113" s="8">
        <f>IFERROR(__xludf.DUMMYFUNCTION("""COMPUTED_VALUE"""),1.0)</f>
        <v>1</v>
      </c>
      <c r="E113" s="8" t="str">
        <f>IFERROR(__xludf.DUMMYFUNCTION("""COMPUTED_VALUE"""),"head")</f>
        <v>head</v>
      </c>
      <c r="F113" s="8" t="str">
        <f>IFERROR(__xludf.DUMMYFUNCTION("""COMPUTED_VALUE"""),"")</f>
        <v/>
      </c>
    </row>
    <row r="114" ht="37.5" customHeight="1">
      <c r="A114" s="8" t="str">
        <f>IFERROR(__xludf.DUMMYFUNCTION("""COMPUTED_VALUE"""),"041x_jupiter.anm2")</f>
        <v>041x_jupiter.anm2</v>
      </c>
      <c r="B114" s="8">
        <f>IFERROR(__xludf.DUMMYFUNCTION("""COMPUTED_VALUE"""),594.0)</f>
        <v>594</v>
      </c>
      <c r="C114" s="8" t="str">
        <f>IFERROR(__xludf.DUMMYFUNCTION("""COMPUTED_VALUE"""),"passive")</f>
        <v>passive</v>
      </c>
      <c r="D114" s="8">
        <f>IFERROR(__xludf.DUMMYFUNCTION("""COMPUTED_VALUE"""),1.0)</f>
        <v>1</v>
      </c>
      <c r="E114" s="8" t="str">
        <f>IFERROR(__xludf.DUMMYFUNCTION("""COMPUTED_VALUE"""),"head")</f>
        <v>head</v>
      </c>
      <c r="F114" s="8" t="str">
        <f>IFERROR(__xludf.DUMMYFUNCTION("""COMPUTED_VALUE"""),"")</f>
        <v/>
      </c>
    </row>
    <row r="115" ht="37.5" customHeight="1">
      <c r="A115" s="8" t="str">
        <f>IFERROR(__xludf.DUMMYFUNCTION("""COMPUTED_VALUE"""),"043x_uranus.anm2")</f>
        <v>043x_uranus.anm2</v>
      </c>
      <c r="B115" s="8">
        <f>IFERROR(__xludf.DUMMYFUNCTION("""COMPUTED_VALUE"""),596.0)</f>
        <v>596</v>
      </c>
      <c r="C115" s="8" t="str">
        <f>IFERROR(__xludf.DUMMYFUNCTION("""COMPUTED_VALUE"""),"passive")</f>
        <v>passive</v>
      </c>
      <c r="D115" s="8">
        <f>IFERROR(__xludf.DUMMYFUNCTION("""COMPUTED_VALUE"""),1.0)</f>
        <v>1</v>
      </c>
      <c r="E115" s="8" t="str">
        <f>IFERROR(__xludf.DUMMYFUNCTION("""COMPUTED_VALUE"""),"head")</f>
        <v>head</v>
      </c>
      <c r="F115" s="8" t="str">
        <f>IFERROR(__xludf.DUMMYFUNCTION("""COMPUTED_VALUE"""),"")</f>
        <v/>
      </c>
    </row>
    <row r="116" ht="37.5" customHeight="1">
      <c r="A116" s="8" t="str">
        <f>IFERROR(__xludf.DUMMYFUNCTION("""COMPUTED_VALUE"""),"044x_neptunus.anm2")</f>
        <v>044x_neptunus.anm2</v>
      </c>
      <c r="B116" s="8">
        <f>IFERROR(__xludf.DUMMYFUNCTION("""COMPUTED_VALUE"""),597.0)</f>
        <v>597</v>
      </c>
      <c r="C116" s="8" t="str">
        <f>IFERROR(__xludf.DUMMYFUNCTION("""COMPUTED_VALUE"""),"passive")</f>
        <v>passive</v>
      </c>
      <c r="D116" s="8">
        <f>IFERROR(__xludf.DUMMYFUNCTION("""COMPUTED_VALUE"""),22.0)</f>
        <v>22</v>
      </c>
      <c r="E116" s="8" t="str">
        <f>IFERROR(__xludf.DUMMYFUNCTION("""COMPUTED_VALUE"""),"head")</f>
        <v>head</v>
      </c>
      <c r="F116" s="8" t="str">
        <f>IFERROR(__xludf.DUMMYFUNCTION("""COMPUTED_VALUE"""),"")</f>
        <v/>
      </c>
    </row>
    <row r="117" ht="37.5" customHeight="1">
      <c r="A117" s="8" t="str">
        <f>IFERROR(__xludf.DUMMYFUNCTION("""COMPUTED_VALUE"""),"611_larynx.anm2")</f>
        <v>611_larynx.anm2</v>
      </c>
      <c r="B117" s="8">
        <f>IFERROR(__xludf.DUMMYFUNCTION("""COMPUTED_VALUE"""),611.0)</f>
        <v>611</v>
      </c>
      <c r="C117" s="8" t="str">
        <f>IFERROR(__xludf.DUMMYFUNCTION("""COMPUTED_VALUE"""),"active")</f>
        <v>active</v>
      </c>
      <c r="D117" s="8">
        <f>IFERROR(__xludf.DUMMYFUNCTION("""COMPUTED_VALUE"""),101.0)</f>
        <v>101</v>
      </c>
      <c r="E117" s="8" t="str">
        <f>IFERROR(__xludf.DUMMYFUNCTION("""COMPUTED_VALUE"""),"head")</f>
        <v>head</v>
      </c>
      <c r="F117" s="8" t="str">
        <f>IFERROR(__xludf.DUMMYFUNCTION("""COMPUTED_VALUE"""),"")</f>
        <v/>
      </c>
    </row>
    <row r="118" ht="37.5" customHeight="1">
      <c r="A118" s="8" t="str">
        <f>IFERROR(__xludf.DUMMYFUNCTION("""COMPUTED_VALUE"""),"065x_rottentomato.anm2")</f>
        <v>065x_rottentomato.anm2</v>
      </c>
      <c r="B118" s="8">
        <f>IFERROR(__xludf.DUMMYFUNCTION("""COMPUTED_VALUE"""),618.0)</f>
        <v>618</v>
      </c>
      <c r="C118" s="8" t="str">
        <f>IFERROR(__xludf.DUMMYFUNCTION("""COMPUTED_VALUE"""),"passive")</f>
        <v>passive</v>
      </c>
      <c r="D118" s="8">
        <f>IFERROR(__xludf.DUMMYFUNCTION("""COMPUTED_VALUE"""),0.0)</f>
        <v>0</v>
      </c>
      <c r="E118" s="8" t="str">
        <f>IFERROR(__xludf.DUMMYFUNCTION("""COMPUTED_VALUE"""),"head")</f>
        <v>head</v>
      </c>
      <c r="F118" s="8" t="str">
        <f>IFERROR(__xludf.DUMMYFUNCTION("""COMPUTED_VALUE"""),"")</f>
        <v/>
      </c>
    </row>
    <row r="119" ht="37.5" customHeight="1">
      <c r="A119" s="8" t="str">
        <f>IFERROR(__xludf.DUMMYFUNCTION("""COMPUTED_VALUE"""),"big_isaac.anm2")</f>
        <v>big_isaac.anm2</v>
      </c>
      <c r="B119" s="8">
        <f>IFERROR(__xludf.DUMMYFUNCTION("""COMPUTED_VALUE"""),625.0)</f>
        <v>625</v>
      </c>
      <c r="C119" s="8" t="str">
        <f>IFERROR(__xludf.DUMMYFUNCTION("""COMPUTED_VALUE"""),"active")</f>
        <v>active</v>
      </c>
      <c r="D119" s="8">
        <f>IFERROR(__xludf.DUMMYFUNCTION("""COMPUTED_VALUE"""),1000.0)</f>
        <v>1000</v>
      </c>
      <c r="E119" s="8" t="str">
        <f>IFERROR(__xludf.DUMMYFUNCTION("""COMPUTED_VALUE"""),"head")</f>
        <v>head</v>
      </c>
      <c r="F119" s="8" t="str">
        <f>IFERROR(__xludf.DUMMYFUNCTION("""COMPUTED_VALUE"""),"")</f>
        <v/>
      </c>
    </row>
    <row r="120" ht="37.5" customHeight="1">
      <c r="A120" s="8" t="str">
        <f>IFERROR(__xludf.DUMMYFUNCTION("""COMPUTED_VALUE"""),"084x_knockout.anm2")</f>
        <v>084x_knockout.anm2</v>
      </c>
      <c r="B120" s="8">
        <f>IFERROR(__xludf.DUMMYFUNCTION("""COMPUTED_VALUE"""),637.0)</f>
        <v>637</v>
      </c>
      <c r="C120" s="8" t="str">
        <f>IFERROR(__xludf.DUMMYFUNCTION("""COMPUTED_VALUE"""),"passive")</f>
        <v>passive</v>
      </c>
      <c r="D120" s="8">
        <f>IFERROR(__xludf.DUMMYFUNCTION("""COMPUTED_VALUE"""),0.0)</f>
        <v>0</v>
      </c>
      <c r="E120" s="8" t="str">
        <f>IFERROR(__xludf.DUMMYFUNCTION("""COMPUTED_VALUE"""),"head")</f>
        <v>head</v>
      </c>
      <c r="F120" s="8" t="str">
        <f>IFERROR(__xludf.DUMMYFUNCTION("""COMPUTED_VALUE"""),"")</f>
        <v/>
      </c>
    </row>
    <row r="121" ht="37.5" customHeight="1">
      <c r="A121" s="8" t="str">
        <f>IFERROR(__xludf.DUMMYFUNCTION("""COMPUTED_VALUE"""),"090x_revelation.anm2")</f>
        <v>090x_revelation.anm2</v>
      </c>
      <c r="B121" s="8">
        <f>IFERROR(__xludf.DUMMYFUNCTION("""COMPUTED_VALUE"""),643.0)</f>
        <v>643</v>
      </c>
      <c r="C121" s="8" t="str">
        <f>IFERROR(__xludf.DUMMYFUNCTION("""COMPUTED_VALUE"""),"passive")</f>
        <v>passive</v>
      </c>
      <c r="D121" s="8">
        <f>IFERROR(__xludf.DUMMYFUNCTION("""COMPUTED_VALUE"""),0.0)</f>
        <v>0</v>
      </c>
      <c r="E121" s="8" t="str">
        <f>IFERROR(__xludf.DUMMYFUNCTION("""COMPUTED_VALUE"""),"head")</f>
        <v>head</v>
      </c>
      <c r="F121" s="8" t="str">
        <f>IFERROR(__xludf.DUMMYFUNCTION("""COMPUTED_VALUE"""),"")</f>
        <v/>
      </c>
    </row>
    <row r="122" ht="37.5" customHeight="1">
      <c r="A122" s="8" t="str">
        <f>IFERROR(__xludf.DUMMYFUNCTION("""COMPUTED_VALUE"""),"101x_falsephd.anm2")</f>
        <v>101x_falsephd.anm2</v>
      </c>
      <c r="B122" s="8">
        <f>IFERROR(__xludf.DUMMYFUNCTION("""COMPUTED_VALUE"""),654.0)</f>
        <v>654</v>
      </c>
      <c r="C122" s="8" t="str">
        <f>IFERROR(__xludf.DUMMYFUNCTION("""COMPUTED_VALUE"""),"passive")</f>
        <v>passive</v>
      </c>
      <c r="D122" s="8">
        <f>IFERROR(__xludf.DUMMYFUNCTION("""COMPUTED_VALUE"""),0.0)</f>
        <v>0</v>
      </c>
      <c r="E122" s="8" t="str">
        <f>IFERROR(__xludf.DUMMYFUNCTION("""COMPUTED_VALUE"""),"head")</f>
        <v>head</v>
      </c>
      <c r="F122" s="8" t="str">
        <f>IFERROR(__xludf.DUMMYFUNCTION("""COMPUTED_VALUE"""),"")</f>
        <v/>
      </c>
    </row>
    <row r="123" ht="37.5" customHeight="1">
      <c r="A123" s="8" t="str">
        <f>IFERROR(__xludf.DUMMYFUNCTION("""COMPUTED_VALUE"""),"069x_sausage.anm2")</f>
        <v>069x_sausage.anm2</v>
      </c>
      <c r="B123" s="8">
        <f>IFERROR(__xludf.DUMMYFUNCTION("""COMPUTED_VALUE"""),669.0)</f>
        <v>669</v>
      </c>
      <c r="C123" s="8" t="str">
        <f>IFERROR(__xludf.DUMMYFUNCTION("""COMPUTED_VALUE"""),"passive")</f>
        <v>passive</v>
      </c>
      <c r="D123" s="8">
        <f>IFERROR(__xludf.DUMMYFUNCTION("""COMPUTED_VALUE"""),0.0)</f>
        <v>0</v>
      </c>
      <c r="E123" s="8" t="str">
        <f>IFERROR(__xludf.DUMMYFUNCTION("""COMPUTED_VALUE"""),"head")</f>
        <v>head</v>
      </c>
      <c r="F123" s="8" t="str">
        <f>IFERROR(__xludf.DUMMYFUNCTION("""COMPUTED_VALUE"""),"")</f>
        <v/>
      </c>
    </row>
    <row r="124" ht="37.5" customHeight="1">
      <c r="A124" s="8" t="str">
        <f>IFERROR(__xludf.DUMMYFUNCTION("""COMPUTED_VALUE"""),"045x_pluto.anm2")</f>
        <v>045x_pluto.anm2</v>
      </c>
      <c r="B124" s="8">
        <f>IFERROR(__xludf.DUMMYFUNCTION("""COMPUTED_VALUE"""),688.0)</f>
        <v>688</v>
      </c>
      <c r="C124" s="8" t="str">
        <f>IFERROR(__xludf.DUMMYFUNCTION("""COMPUTED_VALUE"""),"passive")</f>
        <v>passive</v>
      </c>
      <c r="D124" s="8">
        <f>IFERROR(__xludf.DUMMYFUNCTION("""COMPUTED_VALUE"""),10.0)</f>
        <v>10</v>
      </c>
      <c r="E124" s="8" t="str">
        <f>IFERROR(__xludf.DUMMYFUNCTION("""COMPUTED_VALUE"""),"head")</f>
        <v>head</v>
      </c>
      <c r="F124" s="8" t="str">
        <f>IFERROR(__xludf.DUMMYFUNCTION("""COMPUTED_VALUE"""),"")</f>
        <v/>
      </c>
    </row>
    <row r="125" ht="37.5" customHeight="1">
      <c r="A125" s="8"/>
      <c r="B125" s="8"/>
      <c r="C125" s="8"/>
      <c r="D125" s="8"/>
      <c r="E125" s="8"/>
      <c r="F125" s="8"/>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5.13"/>
    <col customWidth="1" min="3" max="3" width="7.25"/>
    <col customWidth="1" min="4" max="4" width="9.38"/>
    <col customWidth="1" min="5" max="5" width="8.0"/>
    <col customWidth="1" min="6" max="6" width="25.13"/>
  </cols>
  <sheetData>
    <row r="1" ht="37.5" customHeight="1">
      <c r="A1" s="10" t="s">
        <v>0</v>
      </c>
      <c r="B1" s="10" t="s">
        <v>1</v>
      </c>
      <c r="C1" s="10" t="s">
        <v>2</v>
      </c>
      <c r="D1" s="10" t="s">
        <v>3</v>
      </c>
      <c r="E1" s="10" t="s">
        <v>4</v>
      </c>
      <c r="F1" s="10" t="s">
        <v>5</v>
      </c>
    </row>
    <row r="2" ht="37.5" customHeight="1">
      <c r="A2" s="8" t="str">
        <f>IFERROR(__xludf.DUMMYFUNCTION("FILTER('All Costumes'!A2:F645, 'All Costumes'!E2:E645=""head0"")"),"001_the sad onion.anm2")</f>
        <v>001_the sad onion.anm2</v>
      </c>
      <c r="B2" s="8">
        <f>IFERROR(__xludf.DUMMYFUNCTION("""COMPUTED_VALUE"""),1.0)</f>
        <v>1</v>
      </c>
      <c r="C2" s="8" t="str">
        <f>IFERROR(__xludf.DUMMYFUNCTION("""COMPUTED_VALUE"""),"passive")</f>
        <v>passive</v>
      </c>
      <c r="D2" s="8">
        <f>IFERROR(__xludf.DUMMYFUNCTION("""COMPUTED_VALUE"""),0.0)</f>
        <v>0</v>
      </c>
      <c r="E2" s="8" t="str">
        <f>IFERROR(__xludf.DUMMYFUNCTION("""COMPUTED_VALUE"""),"head0")</f>
        <v>head0</v>
      </c>
      <c r="F2" s="8" t="str">
        <f>IFERROR(__xludf.DUMMYFUNCTION("""COMPUTED_VALUE"""),"")</f>
        <v/>
      </c>
    </row>
    <row r="3" ht="37.5" customHeight="1">
      <c r="A3" s="8" t="str">
        <f>IFERROR(__xludf.DUMMYFUNCTION("""COMPUTED_VALUE"""),"210_gnawedleaf_statue.anm2")</f>
        <v>210_gnawedleaf_statue.anm2</v>
      </c>
      <c r="B3" s="8">
        <f>IFERROR(__xludf.DUMMYFUNCTION("""COMPUTED_VALUE"""),4.0)</f>
        <v>4</v>
      </c>
      <c r="C3" s="8" t="str">
        <f>IFERROR(__xludf.DUMMYFUNCTION("""COMPUTED_VALUE"""),"none")</f>
        <v>none</v>
      </c>
      <c r="D3" s="8">
        <f>IFERROR(__xludf.DUMMYFUNCTION("""COMPUTED_VALUE"""),50.0)</f>
        <v>50</v>
      </c>
      <c r="E3" s="8" t="str">
        <f>IFERROR(__xludf.DUMMYFUNCTION("""COMPUTED_VALUE"""),"head0")</f>
        <v>head0</v>
      </c>
      <c r="F3" s="8" t="str">
        <f>IFERROR(__xludf.DUMMYFUNCTION("""COMPUTED_VALUE"""),"")</f>
        <v/>
      </c>
    </row>
    <row r="4" ht="37.5" customHeight="1">
      <c r="A4" s="8" t="str">
        <f>IFERROR(__xludf.DUMMYFUNCTION("""COMPUTED_VALUE"""),"character_002_magdalenehead.anm2")</f>
        <v>character_002_magdalenehead.anm2</v>
      </c>
      <c r="B4" s="8">
        <f>IFERROR(__xludf.DUMMYFUNCTION("""COMPUTED_VALUE"""),7.0)</f>
        <v>7</v>
      </c>
      <c r="C4" s="8" t="str">
        <f>IFERROR(__xludf.DUMMYFUNCTION("""COMPUTED_VALUE"""),"none")</f>
        <v>none</v>
      </c>
      <c r="D4" s="8">
        <f>IFERROR(__xludf.DUMMYFUNCTION("""COMPUTED_VALUE"""),99.0)</f>
        <v>99</v>
      </c>
      <c r="E4" s="8" t="str">
        <f>IFERROR(__xludf.DUMMYFUNCTION("""COMPUTED_VALUE"""),"head0")</f>
        <v>head0</v>
      </c>
      <c r="F4" s="8" t="str">
        <f>IFERROR(__xludf.DUMMYFUNCTION("""COMPUTED_VALUE"""),"")</f>
        <v/>
      </c>
    </row>
    <row r="5" ht="37.5" customHeight="1">
      <c r="A5" s="8" t="str">
        <f>IFERROR(__xludf.DUMMYFUNCTION("""COMPUTED_VALUE"""),"character_003_cainseyepatch.anm2")</f>
        <v>character_003_cainseyepatch.anm2</v>
      </c>
      <c r="B5" s="8">
        <f>IFERROR(__xludf.DUMMYFUNCTION("""COMPUTED_VALUE"""),8.0)</f>
        <v>8</v>
      </c>
      <c r="C5" s="8" t="str">
        <f>IFERROR(__xludf.DUMMYFUNCTION("""COMPUTED_VALUE"""),"none")</f>
        <v>none</v>
      </c>
      <c r="D5" s="8">
        <f>IFERROR(__xludf.DUMMYFUNCTION("""COMPUTED_VALUE"""),99.0)</f>
        <v>99</v>
      </c>
      <c r="E5" s="8" t="str">
        <f>IFERROR(__xludf.DUMMYFUNCTION("""COMPUTED_VALUE"""),"head0")</f>
        <v>head0</v>
      </c>
      <c r="F5" s="8" t="str">
        <f>IFERROR(__xludf.DUMMYFUNCTION("""COMPUTED_VALUE"""),"")</f>
        <v/>
      </c>
    </row>
    <row r="6" ht="37.5" customHeight="1">
      <c r="A6" s="8" t="str">
        <f>IFERROR(__xludf.DUMMYFUNCTION("""COMPUTED_VALUE"""),"character_004_judasfez.anm2")</f>
        <v>character_004_judasfez.anm2</v>
      </c>
      <c r="B6" s="8">
        <f>IFERROR(__xludf.DUMMYFUNCTION("""COMPUTED_VALUE"""),9.0)</f>
        <v>9</v>
      </c>
      <c r="C6" s="8" t="str">
        <f>IFERROR(__xludf.DUMMYFUNCTION("""COMPUTED_VALUE"""),"none")</f>
        <v>none</v>
      </c>
      <c r="D6" s="8">
        <f>IFERROR(__xludf.DUMMYFUNCTION("""COMPUTED_VALUE"""),99.0)</f>
        <v>99</v>
      </c>
      <c r="E6" s="8" t="str">
        <f>IFERROR(__xludf.DUMMYFUNCTION("""COMPUTED_VALUE"""),"head0")</f>
        <v>head0</v>
      </c>
      <c r="F6" s="8" t="str">
        <f>IFERROR(__xludf.DUMMYFUNCTION("""COMPUTED_VALUE"""),"")</f>
        <v/>
      </c>
    </row>
    <row r="7" ht="37.5" customHeight="1">
      <c r="A7" s="8" t="str">
        <f>IFERROR(__xludf.DUMMYFUNCTION("""COMPUTED_VALUE"""),"character_005_evehead.anm2")</f>
        <v>character_005_evehead.anm2</v>
      </c>
      <c r="B7" s="8">
        <f>IFERROR(__xludf.DUMMYFUNCTION("""COMPUTED_VALUE"""),10.0)</f>
        <v>10</v>
      </c>
      <c r="C7" s="8" t="str">
        <f>IFERROR(__xludf.DUMMYFUNCTION("""COMPUTED_VALUE"""),"none")</f>
        <v>none</v>
      </c>
      <c r="D7" s="8">
        <f>IFERROR(__xludf.DUMMYFUNCTION("""COMPUTED_VALUE"""),99.0)</f>
        <v>99</v>
      </c>
      <c r="E7" s="8" t="str">
        <f>IFERROR(__xludf.DUMMYFUNCTION("""COMPUTED_VALUE"""),"head0")</f>
        <v>head0</v>
      </c>
      <c r="F7" s="8" t="str">
        <f>IFERROR(__xludf.DUMMYFUNCTION("""COMPUTED_VALUE"""),"")</f>
        <v/>
      </c>
    </row>
    <row r="8" ht="37.5" customHeight="1">
      <c r="A8" s="8" t="str">
        <f>IFERROR(__xludf.DUMMYFUNCTION("""COMPUTED_VALUE"""),"character_009_edenhair1.anm2")</f>
        <v>character_009_edenhair1.anm2</v>
      </c>
      <c r="B8" s="8">
        <f>IFERROR(__xludf.DUMMYFUNCTION("""COMPUTED_VALUE"""),12.0)</f>
        <v>12</v>
      </c>
      <c r="C8" s="8" t="str">
        <f>IFERROR(__xludf.DUMMYFUNCTION("""COMPUTED_VALUE"""),"none")</f>
        <v>none</v>
      </c>
      <c r="D8" s="8">
        <f>IFERROR(__xludf.DUMMYFUNCTION("""COMPUTED_VALUE"""),99.0)</f>
        <v>99</v>
      </c>
      <c r="E8" s="8" t="str">
        <f>IFERROR(__xludf.DUMMYFUNCTION("""COMPUTED_VALUE"""),"head0")</f>
        <v>head0</v>
      </c>
      <c r="F8" s="8" t="str">
        <f>IFERROR(__xludf.DUMMYFUNCTION("""COMPUTED_VALUE"""),"")</f>
        <v/>
      </c>
    </row>
    <row r="9" ht="37.5" customHeight="1">
      <c r="A9" s="8" t="str">
        <f>IFERROR(__xludf.DUMMYFUNCTION("""COMPUTED_VALUE"""),"character_007_samsonhead.anm2")</f>
        <v>character_007_samsonhead.anm2</v>
      </c>
      <c r="B9" s="8">
        <f>IFERROR(__xludf.DUMMYFUNCTION("""COMPUTED_VALUE"""),13.0)</f>
        <v>13</v>
      </c>
      <c r="C9" s="8" t="str">
        <f>IFERROR(__xludf.DUMMYFUNCTION("""COMPUTED_VALUE"""),"none")</f>
        <v>none</v>
      </c>
      <c r="D9" s="8">
        <f>IFERROR(__xludf.DUMMYFUNCTION("""COMPUTED_VALUE"""),99.0)</f>
        <v>99</v>
      </c>
      <c r="E9" s="8" t="str">
        <f>IFERROR(__xludf.DUMMYFUNCTION("""COMPUTED_VALUE"""),"head0")</f>
        <v>head0</v>
      </c>
      <c r="F9" s="8" t="str">
        <f>IFERROR(__xludf.DUMMYFUNCTION("""COMPUTED_VALUE"""),"")</f>
        <v/>
      </c>
    </row>
    <row r="10" ht="37.5" customHeight="1">
      <c r="A10" s="8" t="str">
        <f>IFERROR(__xludf.DUMMYFUNCTION("""COMPUTED_VALUE"""),"character_lazarushair1.anm2")</f>
        <v>character_lazarushair1.anm2</v>
      </c>
      <c r="B10" s="8">
        <f>IFERROR(__xludf.DUMMYFUNCTION("""COMPUTED_VALUE"""),32.0)</f>
        <v>32</v>
      </c>
      <c r="C10" s="8" t="str">
        <f>IFERROR(__xludf.DUMMYFUNCTION("""COMPUTED_VALUE"""),"none")</f>
        <v>none</v>
      </c>
      <c r="D10" s="8">
        <f>IFERROR(__xludf.DUMMYFUNCTION("""COMPUTED_VALUE"""),99.0)</f>
        <v>99</v>
      </c>
      <c r="E10" s="8" t="str">
        <f>IFERROR(__xludf.DUMMYFUNCTION("""COMPUTED_VALUE"""),"head0")</f>
        <v>head0</v>
      </c>
      <c r="F10" s="8" t="str">
        <f>IFERROR(__xludf.DUMMYFUNCTION("""COMPUTED_VALUE"""),"")</f>
        <v/>
      </c>
    </row>
    <row r="11" ht="37.5" customHeight="1">
      <c r="A11" s="8" t="str">
        <f>IFERROR(__xludf.DUMMYFUNCTION("""COMPUTED_VALUE"""),"character_lazarushair2.anm2")</f>
        <v>character_lazarushair2.anm2</v>
      </c>
      <c r="B11" s="8">
        <f>IFERROR(__xludf.DUMMYFUNCTION("""COMPUTED_VALUE"""),33.0)</f>
        <v>33</v>
      </c>
      <c r="C11" s="8" t="str">
        <f>IFERROR(__xludf.DUMMYFUNCTION("""COMPUTED_VALUE"""),"none")</f>
        <v>none</v>
      </c>
      <c r="D11" s="8">
        <f>IFERROR(__xludf.DUMMYFUNCTION("""COMPUTED_VALUE"""),99.0)</f>
        <v>99</v>
      </c>
      <c r="E11" s="8" t="str">
        <f>IFERROR(__xludf.DUMMYFUNCTION("""COMPUTED_VALUE"""),"head0")</f>
        <v>head0</v>
      </c>
      <c r="F11" s="8" t="str">
        <f>IFERROR(__xludf.DUMMYFUNCTION("""COMPUTED_VALUE"""),"")</f>
        <v/>
      </c>
    </row>
    <row r="12" ht="37.5" customHeight="1">
      <c r="A12" s="8" t="str">
        <f>IFERROR(__xludf.DUMMYFUNCTION("""COMPUTED_VALUE"""),"character_015_apollyonbody.anm2")</f>
        <v>character_015_apollyonbody.anm2</v>
      </c>
      <c r="B12" s="8">
        <f>IFERROR(__xludf.DUMMYFUNCTION("""COMPUTED_VALUE"""),36.0)</f>
        <v>36</v>
      </c>
      <c r="C12" s="8" t="str">
        <f>IFERROR(__xludf.DUMMYFUNCTION("""COMPUTED_VALUE"""),"none")</f>
        <v>none</v>
      </c>
      <c r="D12" s="8">
        <f>IFERROR(__xludf.DUMMYFUNCTION("""COMPUTED_VALUE"""),1.0)</f>
        <v>1</v>
      </c>
      <c r="E12" s="8" t="str">
        <f>IFERROR(__xludf.DUMMYFUNCTION("""COMPUTED_VALUE"""),"head0")</f>
        <v>head0</v>
      </c>
      <c r="F12" s="8" t="str">
        <f>IFERROR(__xludf.DUMMYFUNCTION("""COMPUTED_VALUE"""),"")</f>
        <v/>
      </c>
    </row>
    <row r="13" ht="37.5" customHeight="1">
      <c r="A13" s="8" t="str">
        <f>IFERROR(__xludf.DUMMYFUNCTION("""COMPUTED_VALUE"""),"character_014_keepernoose.anm2")</f>
        <v>character_014_keepernoose.anm2</v>
      </c>
      <c r="B13" s="8">
        <f>IFERROR(__xludf.DUMMYFUNCTION("""COMPUTED_VALUE"""),47.0)</f>
        <v>47</v>
      </c>
      <c r="C13" s="8" t="str">
        <f>IFERROR(__xludf.DUMMYFUNCTION("""COMPUTED_VALUE"""),"none")</f>
        <v>none</v>
      </c>
      <c r="D13" s="8">
        <f>IFERROR(__xludf.DUMMYFUNCTION("""COMPUTED_VALUE"""),99.0)</f>
        <v>99</v>
      </c>
      <c r="E13" s="8" t="str">
        <f>IFERROR(__xludf.DUMMYFUNCTION("""COMPUTED_VALUE"""),"head0")</f>
        <v>head0</v>
      </c>
      <c r="F13" s="8" t="str">
        <f>IFERROR(__xludf.DUMMYFUNCTION("""COMPUTED_VALUE"""),"")</f>
        <v/>
      </c>
    </row>
    <row r="14" ht="37.5" customHeight="1">
      <c r="A14" s="8" t="str">
        <f>IFERROR(__xludf.DUMMYFUNCTION("""COMPUTED_VALUE"""),"049_shoop da whoop.anm2")</f>
        <v>049_shoop da whoop.anm2</v>
      </c>
      <c r="B14" s="8">
        <f>IFERROR(__xludf.DUMMYFUNCTION("""COMPUTED_VALUE"""),49.0)</f>
        <v>49</v>
      </c>
      <c r="C14" s="8" t="str">
        <f>IFERROR(__xludf.DUMMYFUNCTION("""COMPUTED_VALUE"""),"active")</f>
        <v>active</v>
      </c>
      <c r="D14" s="8">
        <f>IFERROR(__xludf.DUMMYFUNCTION("""COMPUTED_VALUE"""),30.0)</f>
        <v>30</v>
      </c>
      <c r="E14" s="8" t="str">
        <f>IFERROR(__xludf.DUMMYFUNCTION("""COMPUTED_VALUE"""),"head0")</f>
        <v>head0</v>
      </c>
      <c r="F14" s="8" t="str">
        <f>IFERROR(__xludf.DUMMYFUNCTION("""COMPUTED_VALUE"""),"")</f>
        <v/>
      </c>
    </row>
    <row r="15" ht="37.5" customHeight="1">
      <c r="A15" s="8" t="str">
        <f>IFERROR(__xludf.DUMMYFUNCTION("""COMPUTED_VALUE"""),"character_001x_bethanyhead.anm2")</f>
        <v>character_001x_bethanyhead.anm2</v>
      </c>
      <c r="B15" s="8">
        <f>IFERROR(__xludf.DUMMYFUNCTION("""COMPUTED_VALUE"""),51.0)</f>
        <v>51</v>
      </c>
      <c r="C15" s="8" t="str">
        <f>IFERROR(__xludf.DUMMYFUNCTION("""COMPUTED_VALUE"""),"none")</f>
        <v>none</v>
      </c>
      <c r="D15" s="8">
        <f>IFERROR(__xludf.DUMMYFUNCTION("""COMPUTED_VALUE"""),99.0)</f>
        <v>99</v>
      </c>
      <c r="E15" s="8" t="str">
        <f>IFERROR(__xludf.DUMMYFUNCTION("""COMPUTED_VALUE"""),"head0")</f>
        <v>head0</v>
      </c>
      <c r="F15" s="8" t="str">
        <f>IFERROR(__xludf.DUMMYFUNCTION("""COMPUTED_VALUE"""),"")</f>
        <v/>
      </c>
    </row>
    <row r="16" ht="37.5" customHeight="1">
      <c r="A16" s="8" t="str">
        <f>IFERROR(__xludf.DUMMYFUNCTION("""COMPUTED_VALUE"""),"character_002x_jacobhead.anm2")</f>
        <v>character_002x_jacobhead.anm2</v>
      </c>
      <c r="B16" s="8">
        <f>IFERROR(__xludf.DUMMYFUNCTION("""COMPUTED_VALUE"""),52.0)</f>
        <v>52</v>
      </c>
      <c r="C16" s="8" t="str">
        <f>IFERROR(__xludf.DUMMYFUNCTION("""COMPUTED_VALUE"""),"none")</f>
        <v>none</v>
      </c>
      <c r="D16" s="8">
        <f>IFERROR(__xludf.DUMMYFUNCTION("""COMPUTED_VALUE"""),99.0)</f>
        <v>99</v>
      </c>
      <c r="E16" s="8" t="str">
        <f>IFERROR(__xludf.DUMMYFUNCTION("""COMPUTED_VALUE"""),"head0")</f>
        <v>head0</v>
      </c>
      <c r="F16" s="8" t="str">
        <f>IFERROR(__xludf.DUMMYFUNCTION("""COMPUTED_VALUE"""),"")</f>
        <v/>
      </c>
    </row>
    <row r="17" ht="37.5" customHeight="1">
      <c r="A17" s="8" t="str">
        <f>IFERROR(__xludf.DUMMYFUNCTION("""COMPUTED_VALUE"""),"character_003x_esauhead.anm2")</f>
        <v>character_003x_esauhead.anm2</v>
      </c>
      <c r="B17" s="8">
        <f>IFERROR(__xludf.DUMMYFUNCTION("""COMPUTED_VALUE"""),53.0)</f>
        <v>53</v>
      </c>
      <c r="C17" s="8" t="str">
        <f>IFERROR(__xludf.DUMMYFUNCTION("""COMPUTED_VALUE"""),"none")</f>
        <v>none</v>
      </c>
      <c r="D17" s="8">
        <f>IFERROR(__xludf.DUMMYFUNCTION("""COMPUTED_VALUE"""),99.0)</f>
        <v>99</v>
      </c>
      <c r="E17" s="8" t="str">
        <f>IFERROR(__xludf.DUMMYFUNCTION("""COMPUTED_VALUE"""),"head0")</f>
        <v>head0</v>
      </c>
      <c r="F17" s="8" t="str">
        <f>IFERROR(__xludf.DUMMYFUNCTION("""COMPUTED_VALUE"""),"")</f>
        <v/>
      </c>
    </row>
    <row r="18" ht="37.5" customHeight="1">
      <c r="A18" s="8" t="str">
        <f>IFERROR(__xludf.DUMMYFUNCTION("""COMPUTED_VALUE"""),"663_toothandnail_statue.anm2")</f>
        <v>663_toothandnail_statue.anm2</v>
      </c>
      <c r="B18" s="8">
        <f>IFERROR(__xludf.DUMMYFUNCTION("""COMPUTED_VALUE"""),59.0)</f>
        <v>59</v>
      </c>
      <c r="C18" s="8" t="str">
        <f>IFERROR(__xludf.DUMMYFUNCTION("""COMPUTED_VALUE"""),"none")</f>
        <v>none</v>
      </c>
      <c r="D18" s="8">
        <f>IFERROR(__xludf.DUMMYFUNCTION("""COMPUTED_VALUE"""),51.0)</f>
        <v>51</v>
      </c>
      <c r="E18" s="8" t="str">
        <f>IFERROR(__xludf.DUMMYFUNCTION("""COMPUTED_VALUE"""),"head0")</f>
        <v>head0</v>
      </c>
      <c r="F18" s="8" t="str">
        <f>IFERROR(__xludf.DUMMYFUNCTION("""COMPUTED_VALUE"""),"")</f>
        <v/>
      </c>
    </row>
    <row r="19" ht="37.5" customHeight="1">
      <c r="A19" s="8" t="str">
        <f>IFERROR(__xludf.DUMMYFUNCTION("""COMPUTED_VALUE"""),"n_reverse_chariot.anm2")</f>
        <v>n_reverse_chariot.anm2</v>
      </c>
      <c r="B19" s="8">
        <f>IFERROR(__xludf.DUMMYFUNCTION("""COMPUTED_VALUE"""),63.0)</f>
        <v>63</v>
      </c>
      <c r="C19" s="8" t="str">
        <f>IFERROR(__xludf.DUMMYFUNCTION("""COMPUTED_VALUE"""),"none")</f>
        <v>none</v>
      </c>
      <c r="D19" s="8">
        <f>IFERROR(__xludf.DUMMYFUNCTION("""COMPUTED_VALUE"""),51.0)</f>
        <v>51</v>
      </c>
      <c r="E19" s="8" t="str">
        <f>IFERROR(__xludf.DUMMYFUNCTION("""COMPUTED_VALUE"""),"head0")</f>
        <v>head0</v>
      </c>
      <c r="F19" s="8" t="str">
        <f>IFERROR(__xludf.DUMMYFUNCTION("""COMPUTED_VALUE"""),"")</f>
        <v/>
      </c>
    </row>
    <row r="20" ht="37.5" customHeight="1">
      <c r="A20" s="8" t="str">
        <f>IFERROR(__xludf.DUMMYFUNCTION("""COMPUTED_VALUE"""),"n_reverse_chariot_alt.anm2")</f>
        <v>n_reverse_chariot_alt.anm2</v>
      </c>
      <c r="B20" s="8">
        <f>IFERROR(__xludf.DUMMYFUNCTION("""COMPUTED_VALUE"""),68.0)</f>
        <v>68</v>
      </c>
      <c r="C20" s="8" t="str">
        <f>IFERROR(__xludf.DUMMYFUNCTION("""COMPUTED_VALUE"""),"none")</f>
        <v>none</v>
      </c>
      <c r="D20" s="8">
        <f>IFERROR(__xludf.DUMMYFUNCTION("""COMPUTED_VALUE"""),51.0)</f>
        <v>51</v>
      </c>
      <c r="E20" s="8" t="str">
        <f>IFERROR(__xludf.DUMMYFUNCTION("""COMPUTED_VALUE"""),"head0")</f>
        <v>head0</v>
      </c>
      <c r="F20" s="8" t="str">
        <f>IFERROR(__xludf.DUMMYFUNCTION("""COMPUTED_VALUE"""),"")</f>
        <v/>
      </c>
    </row>
    <row r="21" ht="37.5" customHeight="1">
      <c r="A21" s="8" t="str">
        <f>IFERROR(__xludf.DUMMYFUNCTION("""COMPUTED_VALUE"""),"character_b01_isaac.anm2")</f>
        <v>character_b01_isaac.anm2</v>
      </c>
      <c r="B21" s="8">
        <f>IFERROR(__xludf.DUMMYFUNCTION("""COMPUTED_VALUE"""),79.0)</f>
        <v>79</v>
      </c>
      <c r="C21" s="8" t="str">
        <f>IFERROR(__xludf.DUMMYFUNCTION("""COMPUTED_VALUE"""),"none")</f>
        <v>none</v>
      </c>
      <c r="D21" s="8">
        <f>IFERROR(__xludf.DUMMYFUNCTION("""COMPUTED_VALUE"""),99.0)</f>
        <v>99</v>
      </c>
      <c r="E21" s="8" t="str">
        <f>IFERROR(__xludf.DUMMYFUNCTION("""COMPUTED_VALUE"""),"head0")</f>
        <v>head0</v>
      </c>
      <c r="F21" s="8" t="str">
        <f>IFERROR(__xludf.DUMMYFUNCTION("""COMPUTED_VALUE"""),"")</f>
        <v/>
      </c>
    </row>
    <row r="22" ht="37.5" customHeight="1">
      <c r="A22" s="8" t="str">
        <f>IFERROR(__xludf.DUMMYFUNCTION("""COMPUTED_VALUE"""),"character_b02_magdalene.anm2")</f>
        <v>character_b02_magdalene.anm2</v>
      </c>
      <c r="B22" s="8">
        <f>IFERROR(__xludf.DUMMYFUNCTION("""COMPUTED_VALUE"""),80.0)</f>
        <v>80</v>
      </c>
      <c r="C22" s="8" t="str">
        <f>IFERROR(__xludf.DUMMYFUNCTION("""COMPUTED_VALUE"""),"none")</f>
        <v>none</v>
      </c>
      <c r="D22" s="8">
        <f>IFERROR(__xludf.DUMMYFUNCTION("""COMPUTED_VALUE"""),99.0)</f>
        <v>99</v>
      </c>
      <c r="E22" s="8" t="str">
        <f>IFERROR(__xludf.DUMMYFUNCTION("""COMPUTED_VALUE"""),"head0")</f>
        <v>head0</v>
      </c>
      <c r="F22" s="8" t="str">
        <f>IFERROR(__xludf.DUMMYFUNCTION("""COMPUTED_VALUE"""),"")</f>
        <v/>
      </c>
    </row>
    <row r="23" ht="37.5" customHeight="1">
      <c r="A23" s="8" t="str">
        <f>IFERROR(__xludf.DUMMYFUNCTION("""COMPUTED_VALUE"""),"character_b03_cain.anm2")</f>
        <v>character_b03_cain.anm2</v>
      </c>
      <c r="B23" s="8">
        <f>IFERROR(__xludf.DUMMYFUNCTION("""COMPUTED_VALUE"""),81.0)</f>
        <v>81</v>
      </c>
      <c r="C23" s="8" t="str">
        <f>IFERROR(__xludf.DUMMYFUNCTION("""COMPUTED_VALUE"""),"none")</f>
        <v>none</v>
      </c>
      <c r="D23" s="8">
        <f>IFERROR(__xludf.DUMMYFUNCTION("""COMPUTED_VALUE"""),99.0)</f>
        <v>99</v>
      </c>
      <c r="E23" s="8" t="str">
        <f>IFERROR(__xludf.DUMMYFUNCTION("""COMPUTED_VALUE"""),"head0")</f>
        <v>head0</v>
      </c>
      <c r="F23" s="8" t="str">
        <f>IFERROR(__xludf.DUMMYFUNCTION("""COMPUTED_VALUE"""),"")</f>
        <v/>
      </c>
    </row>
    <row r="24" ht="37.5" customHeight="1">
      <c r="A24" s="8" t="str">
        <f>IFERROR(__xludf.DUMMYFUNCTION("""COMPUTED_VALUE"""),"character_b04_judas.anm2")</f>
        <v>character_b04_judas.anm2</v>
      </c>
      <c r="B24" s="8">
        <f>IFERROR(__xludf.DUMMYFUNCTION("""COMPUTED_VALUE"""),82.0)</f>
        <v>82</v>
      </c>
      <c r="C24" s="8" t="str">
        <f>IFERROR(__xludf.DUMMYFUNCTION("""COMPUTED_VALUE"""),"none")</f>
        <v>none</v>
      </c>
      <c r="D24" s="8">
        <f>IFERROR(__xludf.DUMMYFUNCTION("""COMPUTED_VALUE"""),99.0)</f>
        <v>99</v>
      </c>
      <c r="E24" s="8" t="str">
        <f>IFERROR(__xludf.DUMMYFUNCTION("""COMPUTED_VALUE"""),"head0")</f>
        <v>head0</v>
      </c>
      <c r="F24" s="8" t="str">
        <f>IFERROR(__xludf.DUMMYFUNCTION("""COMPUTED_VALUE"""),"")</f>
        <v/>
      </c>
    </row>
    <row r="25" ht="37.5" customHeight="1">
      <c r="A25" s="8" t="str">
        <f>IFERROR(__xludf.DUMMYFUNCTION("""COMPUTED_VALUE"""),"character_b05_bluebaby.anm2")</f>
        <v>character_b05_bluebaby.anm2</v>
      </c>
      <c r="B25" s="8">
        <f>IFERROR(__xludf.DUMMYFUNCTION("""COMPUTED_VALUE"""),83.0)</f>
        <v>83</v>
      </c>
      <c r="C25" s="8" t="str">
        <f>IFERROR(__xludf.DUMMYFUNCTION("""COMPUTED_VALUE"""),"none")</f>
        <v>none</v>
      </c>
      <c r="D25" s="8">
        <f>IFERROR(__xludf.DUMMYFUNCTION("""COMPUTED_VALUE"""),99.0)</f>
        <v>99</v>
      </c>
      <c r="E25" s="8" t="str">
        <f>IFERROR(__xludf.DUMMYFUNCTION("""COMPUTED_VALUE"""),"head0")</f>
        <v>head0</v>
      </c>
      <c r="F25" s="8" t="str">
        <f>IFERROR(__xludf.DUMMYFUNCTION("""COMPUTED_VALUE"""),"")</f>
        <v/>
      </c>
    </row>
    <row r="26" ht="37.5" customHeight="1">
      <c r="A26" s="8" t="str">
        <f>IFERROR(__xludf.DUMMYFUNCTION("""COMPUTED_VALUE"""),"character_b06_eve.anm2")</f>
        <v>character_b06_eve.anm2</v>
      </c>
      <c r="B26" s="8">
        <f>IFERROR(__xludf.DUMMYFUNCTION("""COMPUTED_VALUE"""),84.0)</f>
        <v>84</v>
      </c>
      <c r="C26" s="8" t="str">
        <f>IFERROR(__xludf.DUMMYFUNCTION("""COMPUTED_VALUE"""),"none")</f>
        <v>none</v>
      </c>
      <c r="D26" s="8">
        <f>IFERROR(__xludf.DUMMYFUNCTION("""COMPUTED_VALUE"""),99.0)</f>
        <v>99</v>
      </c>
      <c r="E26" s="8" t="str">
        <f>IFERROR(__xludf.DUMMYFUNCTION("""COMPUTED_VALUE"""),"head0")</f>
        <v>head0</v>
      </c>
      <c r="F26" s="8" t="str">
        <f>IFERROR(__xludf.DUMMYFUNCTION("""COMPUTED_VALUE"""),"")</f>
        <v/>
      </c>
    </row>
    <row r="27" ht="37.5" customHeight="1">
      <c r="A27" s="8" t="str">
        <f>IFERROR(__xludf.DUMMYFUNCTION("""COMPUTED_VALUE"""),"character_b07_samson.anm2")</f>
        <v>character_b07_samson.anm2</v>
      </c>
      <c r="B27" s="8">
        <f>IFERROR(__xludf.DUMMYFUNCTION("""COMPUTED_VALUE"""),85.0)</f>
        <v>85</v>
      </c>
      <c r="C27" s="8" t="str">
        <f>IFERROR(__xludf.DUMMYFUNCTION("""COMPUTED_VALUE"""),"none")</f>
        <v>none</v>
      </c>
      <c r="D27" s="8">
        <f>IFERROR(__xludf.DUMMYFUNCTION("""COMPUTED_VALUE"""),99.0)</f>
        <v>99</v>
      </c>
      <c r="E27" s="8" t="str">
        <f>IFERROR(__xludf.DUMMYFUNCTION("""COMPUTED_VALUE"""),"head0")</f>
        <v>head0</v>
      </c>
      <c r="F27" s="8" t="str">
        <f>IFERROR(__xludf.DUMMYFUNCTION("""COMPUTED_VALUE"""),"")</f>
        <v/>
      </c>
    </row>
    <row r="28" ht="37.5" customHeight="1">
      <c r="A28" s="8" t="str">
        <f>IFERROR(__xludf.DUMMYFUNCTION("""COMPUTED_VALUE"""),"character_b09_lazarus.anm2")</f>
        <v>character_b09_lazarus.anm2</v>
      </c>
      <c r="B28" s="8">
        <f>IFERROR(__xludf.DUMMYFUNCTION("""COMPUTED_VALUE"""),87.0)</f>
        <v>87</v>
      </c>
      <c r="C28" s="8" t="str">
        <f>IFERROR(__xludf.DUMMYFUNCTION("""COMPUTED_VALUE"""),"none")</f>
        <v>none</v>
      </c>
      <c r="D28" s="8">
        <f>IFERROR(__xludf.DUMMYFUNCTION("""COMPUTED_VALUE"""),99.0)</f>
        <v>99</v>
      </c>
      <c r="E28" s="8" t="str">
        <f>IFERROR(__xludf.DUMMYFUNCTION("""COMPUTED_VALUE"""),"head0")</f>
        <v>head0</v>
      </c>
      <c r="F28" s="8" t="str">
        <f>IFERROR(__xludf.DUMMYFUNCTION("""COMPUTED_VALUE"""),"")</f>
        <v/>
      </c>
    </row>
    <row r="29" ht="37.5" customHeight="1">
      <c r="A29" s="8" t="str">
        <f>IFERROR(__xludf.DUMMYFUNCTION("""COMPUTED_VALUE"""),"character_b10_eden.anm2")</f>
        <v>character_b10_eden.anm2</v>
      </c>
      <c r="B29" s="8">
        <f>IFERROR(__xludf.DUMMYFUNCTION("""COMPUTED_VALUE"""),88.0)</f>
        <v>88</v>
      </c>
      <c r="C29" s="8" t="str">
        <f>IFERROR(__xludf.DUMMYFUNCTION("""COMPUTED_VALUE"""),"none")</f>
        <v>none</v>
      </c>
      <c r="D29" s="8">
        <f>IFERROR(__xludf.DUMMYFUNCTION("""COMPUTED_VALUE"""),99.0)</f>
        <v>99</v>
      </c>
      <c r="E29" s="8" t="str">
        <f>IFERROR(__xludf.DUMMYFUNCTION("""COMPUTED_VALUE"""),"head0")</f>
        <v>head0</v>
      </c>
      <c r="F29" s="8" t="str">
        <f>IFERROR(__xludf.DUMMYFUNCTION("""COMPUTED_VALUE"""),"")</f>
        <v/>
      </c>
    </row>
    <row r="30" ht="37.5" customHeight="1">
      <c r="A30" s="8" t="str">
        <f>IFERROR(__xludf.DUMMYFUNCTION("""COMPUTED_VALUE"""),"character_b11_thelost.anm2")</f>
        <v>character_b11_thelost.anm2</v>
      </c>
      <c r="B30" s="8">
        <f>IFERROR(__xludf.DUMMYFUNCTION("""COMPUTED_VALUE"""),89.0)</f>
        <v>89</v>
      </c>
      <c r="C30" s="8" t="str">
        <f>IFERROR(__xludf.DUMMYFUNCTION("""COMPUTED_VALUE"""),"none")</f>
        <v>none</v>
      </c>
      <c r="D30" s="8">
        <f>IFERROR(__xludf.DUMMYFUNCTION("""COMPUTED_VALUE"""),99.0)</f>
        <v>99</v>
      </c>
      <c r="E30" s="8" t="str">
        <f>IFERROR(__xludf.DUMMYFUNCTION("""COMPUTED_VALUE"""),"head0")</f>
        <v>head0</v>
      </c>
      <c r="F30" s="8" t="str">
        <f>IFERROR(__xludf.DUMMYFUNCTION("""COMPUTED_VALUE"""),"")</f>
        <v/>
      </c>
    </row>
    <row r="31" ht="37.5" customHeight="1">
      <c r="A31" s="8" t="str">
        <f>IFERROR(__xludf.DUMMYFUNCTION("""COMPUTED_VALUE"""),"character_b12_lilith.anm2")</f>
        <v>character_b12_lilith.anm2</v>
      </c>
      <c r="B31" s="8">
        <f>IFERROR(__xludf.DUMMYFUNCTION("""COMPUTED_VALUE"""),90.0)</f>
        <v>90</v>
      </c>
      <c r="C31" s="8" t="str">
        <f>IFERROR(__xludf.DUMMYFUNCTION("""COMPUTED_VALUE"""),"none")</f>
        <v>none</v>
      </c>
      <c r="D31" s="8">
        <f>IFERROR(__xludf.DUMMYFUNCTION("""COMPUTED_VALUE"""),99.0)</f>
        <v>99</v>
      </c>
      <c r="E31" s="8" t="str">
        <f>IFERROR(__xludf.DUMMYFUNCTION("""COMPUTED_VALUE"""),"head0")</f>
        <v>head0</v>
      </c>
      <c r="F31" s="8" t="str">
        <f>IFERROR(__xludf.DUMMYFUNCTION("""COMPUTED_VALUE"""),"")</f>
        <v/>
      </c>
    </row>
    <row r="32" ht="37.5" customHeight="1">
      <c r="A32" s="8" t="str">
        <f>IFERROR(__xludf.DUMMYFUNCTION("""COMPUTED_VALUE"""),"character_b13_keeper.anm2")</f>
        <v>character_b13_keeper.anm2</v>
      </c>
      <c r="B32" s="8">
        <f>IFERROR(__xludf.DUMMYFUNCTION("""COMPUTED_VALUE"""),91.0)</f>
        <v>91</v>
      </c>
      <c r="C32" s="8" t="str">
        <f>IFERROR(__xludf.DUMMYFUNCTION("""COMPUTED_VALUE"""),"none")</f>
        <v>none</v>
      </c>
      <c r="D32" s="8">
        <f>IFERROR(__xludf.DUMMYFUNCTION("""COMPUTED_VALUE"""),99.0)</f>
        <v>99</v>
      </c>
      <c r="E32" s="8" t="str">
        <f>IFERROR(__xludf.DUMMYFUNCTION("""COMPUTED_VALUE"""),"head0")</f>
        <v>head0</v>
      </c>
      <c r="F32" s="8" t="str">
        <f>IFERROR(__xludf.DUMMYFUNCTION("""COMPUTED_VALUE"""),"")</f>
        <v/>
      </c>
    </row>
    <row r="33" ht="37.5" customHeight="1">
      <c r="A33" s="8" t="str">
        <f>IFERROR(__xludf.DUMMYFUNCTION("""COMPUTED_VALUE"""),"character_b14_apollyon.anm2")</f>
        <v>character_b14_apollyon.anm2</v>
      </c>
      <c r="B33" s="8">
        <f>IFERROR(__xludf.DUMMYFUNCTION("""COMPUTED_VALUE"""),92.0)</f>
        <v>92</v>
      </c>
      <c r="C33" s="8" t="str">
        <f>IFERROR(__xludf.DUMMYFUNCTION("""COMPUTED_VALUE"""),"none")</f>
        <v>none</v>
      </c>
      <c r="D33" s="8">
        <f>IFERROR(__xludf.DUMMYFUNCTION("""COMPUTED_VALUE"""),99.0)</f>
        <v>99</v>
      </c>
      <c r="E33" s="8" t="str">
        <f>IFERROR(__xludf.DUMMYFUNCTION("""COMPUTED_VALUE"""),"head0")</f>
        <v>head0</v>
      </c>
      <c r="F33" s="8" t="str">
        <f>IFERROR(__xludf.DUMMYFUNCTION("""COMPUTED_VALUE"""),"")</f>
        <v/>
      </c>
    </row>
    <row r="34" ht="37.5" customHeight="1">
      <c r="A34" s="8" t="str">
        <f>IFERROR(__xludf.DUMMYFUNCTION("""COMPUTED_VALUE"""),"093_the gamekid.anm2")</f>
        <v>093_the gamekid.anm2</v>
      </c>
      <c r="B34" s="8">
        <f>IFERROR(__xludf.DUMMYFUNCTION("""COMPUTED_VALUE"""),93.0)</f>
        <v>93</v>
      </c>
      <c r="C34" s="8" t="str">
        <f>IFERROR(__xludf.DUMMYFUNCTION("""COMPUTED_VALUE"""),"active")</f>
        <v>active</v>
      </c>
      <c r="D34" s="8">
        <f>IFERROR(__xludf.DUMMYFUNCTION("""COMPUTED_VALUE"""),100.0)</f>
        <v>100</v>
      </c>
      <c r="E34" s="8" t="str">
        <f>IFERROR(__xludf.DUMMYFUNCTION("""COMPUTED_VALUE"""),"head0")</f>
        <v>head0</v>
      </c>
      <c r="F34" s="8" t="str">
        <f>IFERROR(__xludf.DUMMYFUNCTION("""COMPUTED_VALUE"""),"")</f>
        <v/>
      </c>
    </row>
    <row r="35" ht="37.5" customHeight="1">
      <c r="A35" s="8" t="str">
        <f>IFERROR(__xludf.DUMMYFUNCTION("""COMPUTED_VALUE"""),"character_b15_theforgotten.anm2")</f>
        <v>character_b15_theforgotten.anm2</v>
      </c>
      <c r="B35" s="8">
        <f>IFERROR(__xludf.DUMMYFUNCTION("""COMPUTED_VALUE"""),93.0)</f>
        <v>93</v>
      </c>
      <c r="C35" s="8" t="str">
        <f>IFERROR(__xludf.DUMMYFUNCTION("""COMPUTED_VALUE"""),"none")</f>
        <v>none</v>
      </c>
      <c r="D35" s="8">
        <f>IFERROR(__xludf.DUMMYFUNCTION("""COMPUTED_VALUE"""),99.0)</f>
        <v>99</v>
      </c>
      <c r="E35" s="8" t="str">
        <f>IFERROR(__xludf.DUMMYFUNCTION("""COMPUTED_VALUE"""),"head0")</f>
        <v>head0</v>
      </c>
      <c r="F35" s="8" t="str">
        <f>IFERROR(__xludf.DUMMYFUNCTION("""COMPUTED_VALUE"""),"")</f>
        <v/>
      </c>
    </row>
    <row r="36" ht="37.5" customHeight="1">
      <c r="A36" s="8" t="str">
        <f>IFERROR(__xludf.DUMMYFUNCTION("""COMPUTED_VALUE"""),"character_b16_bethany.anm2")</f>
        <v>character_b16_bethany.anm2</v>
      </c>
      <c r="B36" s="8">
        <f>IFERROR(__xludf.DUMMYFUNCTION("""COMPUTED_VALUE"""),94.0)</f>
        <v>94</v>
      </c>
      <c r="C36" s="8" t="str">
        <f>IFERROR(__xludf.DUMMYFUNCTION("""COMPUTED_VALUE"""),"none")</f>
        <v>none</v>
      </c>
      <c r="D36" s="8">
        <f>IFERROR(__xludf.DUMMYFUNCTION("""COMPUTED_VALUE"""),99.0)</f>
        <v>99</v>
      </c>
      <c r="E36" s="8" t="str">
        <f>IFERROR(__xludf.DUMMYFUNCTION("""COMPUTED_VALUE"""),"head0")</f>
        <v>head0</v>
      </c>
      <c r="F36" s="8" t="str">
        <f>IFERROR(__xludf.DUMMYFUNCTION("""COMPUTED_VALUE"""),"")</f>
        <v/>
      </c>
    </row>
    <row r="37" ht="37.5" customHeight="1">
      <c r="A37" s="8" t="str">
        <f>IFERROR(__xludf.DUMMYFUNCTION("""COMPUTED_VALUE"""),"character_b17_jacob.anm2")</f>
        <v>character_b17_jacob.anm2</v>
      </c>
      <c r="B37" s="8">
        <f>IFERROR(__xludf.DUMMYFUNCTION("""COMPUTED_VALUE"""),95.0)</f>
        <v>95</v>
      </c>
      <c r="C37" s="8" t="str">
        <f>IFERROR(__xludf.DUMMYFUNCTION("""COMPUTED_VALUE"""),"none")</f>
        <v>none</v>
      </c>
      <c r="D37" s="8">
        <f>IFERROR(__xludf.DUMMYFUNCTION("""COMPUTED_VALUE"""),99.0)</f>
        <v>99</v>
      </c>
      <c r="E37" s="8" t="str">
        <f>IFERROR(__xludf.DUMMYFUNCTION("""COMPUTED_VALUE"""),"head0")</f>
        <v>head0</v>
      </c>
      <c r="F37" s="8" t="str">
        <f>IFERROR(__xludf.DUMMYFUNCTION("""COMPUTED_VALUE"""),"")</f>
        <v/>
      </c>
    </row>
    <row r="38" ht="37.5" customHeight="1">
      <c r="A38" s="8" t="str">
        <f>IFERROR(__xludf.DUMMYFUNCTION("""COMPUTED_VALUE"""),"n_berserk_samson.anm2")</f>
        <v>n_berserk_samson.anm2</v>
      </c>
      <c r="B38" s="8">
        <f>IFERROR(__xludf.DUMMYFUNCTION("""COMPUTED_VALUE"""),103.0)</f>
        <v>103</v>
      </c>
      <c r="C38" s="8" t="str">
        <f>IFERROR(__xludf.DUMMYFUNCTION("""COMPUTED_VALUE"""),"none")</f>
        <v>none</v>
      </c>
      <c r="D38" s="8">
        <f>IFERROR(__xludf.DUMMYFUNCTION("""COMPUTED_VALUE"""),100.0)</f>
        <v>100</v>
      </c>
      <c r="E38" s="8" t="str">
        <f>IFERROR(__xludf.DUMMYFUNCTION("""COMPUTED_VALUE"""),"head0")</f>
        <v>head0</v>
      </c>
      <c r="F38" s="8" t="str">
        <f>IFERROR(__xludf.DUMMYFUNCTION("""COMPUTED_VALUE"""),"")</f>
        <v/>
      </c>
    </row>
    <row r="39" ht="37.5" customHeight="1">
      <c r="A39" s="8" t="str">
        <f>IFERROR(__xludf.DUMMYFUNCTION("""COMPUTED_VALUE"""),"character_b09_lazarus2.anm2")</f>
        <v>character_b09_lazarus2.anm2</v>
      </c>
      <c r="B39" s="8">
        <f>IFERROR(__xludf.DUMMYFUNCTION("""COMPUTED_VALUE"""),104.0)</f>
        <v>104</v>
      </c>
      <c r="C39" s="8" t="str">
        <f>IFERROR(__xludf.DUMMYFUNCTION("""COMPUTED_VALUE"""),"none")</f>
        <v>none</v>
      </c>
      <c r="D39" s="8">
        <f>IFERROR(__xludf.DUMMYFUNCTION("""COMPUTED_VALUE"""),99.0)</f>
        <v>99</v>
      </c>
      <c r="E39" s="8" t="str">
        <f>IFERROR(__xludf.DUMMYFUNCTION("""COMPUTED_VALUE"""),"head0")</f>
        <v>head0</v>
      </c>
      <c r="F39" s="8" t="str">
        <f>IFERROR(__xludf.DUMMYFUNCTION("""COMPUTED_VALUE"""),"")</f>
        <v/>
      </c>
    </row>
    <row r="40" ht="37.5" customHeight="1">
      <c r="A40" s="8" t="str">
        <f>IFERROR(__xludf.DUMMYFUNCTION("""COMPUTED_VALUE"""),"character_b15_thesoul.anm2")</f>
        <v>character_b15_thesoul.anm2</v>
      </c>
      <c r="B40" s="8">
        <f>IFERROR(__xludf.DUMMYFUNCTION("""COMPUTED_VALUE"""),105.0)</f>
        <v>105</v>
      </c>
      <c r="C40" s="8" t="str">
        <f>IFERROR(__xludf.DUMMYFUNCTION("""COMPUTED_VALUE"""),"none")</f>
        <v>none</v>
      </c>
      <c r="D40" s="8">
        <f>IFERROR(__xludf.DUMMYFUNCTION("""COMPUTED_VALUE"""),99.0)</f>
        <v>99</v>
      </c>
      <c r="E40" s="8" t="str">
        <f>IFERROR(__xludf.DUMMYFUNCTION("""COMPUTED_VALUE"""),"head0")</f>
        <v>head0</v>
      </c>
      <c r="F40" s="8" t="str">
        <f>IFERROR(__xludf.DUMMYFUNCTION("""COMPUTED_VALUE"""),"")</f>
        <v/>
      </c>
    </row>
    <row r="41" ht="37.5" customHeight="1">
      <c r="A41" s="8" t="str">
        <f>IFERROR(__xludf.DUMMYFUNCTION("""COMPUTED_VALUE"""),"n_forgotten_bomb.anm2")</f>
        <v>n_forgotten_bomb.anm2</v>
      </c>
      <c r="B41" s="8">
        <f>IFERROR(__xludf.DUMMYFUNCTION("""COMPUTED_VALUE"""),106.0)</f>
        <v>106</v>
      </c>
      <c r="C41" s="8" t="str">
        <f>IFERROR(__xludf.DUMMYFUNCTION("""COMPUTED_VALUE"""),"none")</f>
        <v>none</v>
      </c>
      <c r="D41" s="8">
        <f>IFERROR(__xludf.DUMMYFUNCTION("""COMPUTED_VALUE"""),101.0)</f>
        <v>101</v>
      </c>
      <c r="E41" s="8" t="str">
        <f>IFERROR(__xludf.DUMMYFUNCTION("""COMPUTED_VALUE"""),"head0")</f>
        <v>head0</v>
      </c>
      <c r="F41" s="8" t="str">
        <f>IFERROR(__xludf.DUMMYFUNCTION("""COMPUTED_VALUE"""),"")</f>
        <v/>
      </c>
    </row>
    <row r="42" ht="37.5" customHeight="1">
      <c r="A42" s="8" t="str">
        <f>IFERROR(__xludf.DUMMYFUNCTION("""COMPUTED_VALUE"""),"character_b17_jacob2.anm2")</f>
        <v>character_b17_jacob2.anm2</v>
      </c>
      <c r="B42" s="8">
        <f>IFERROR(__xludf.DUMMYFUNCTION("""COMPUTED_VALUE"""),108.0)</f>
        <v>108</v>
      </c>
      <c r="C42" s="8" t="str">
        <f>IFERROR(__xludf.DUMMYFUNCTION("""COMPUTED_VALUE"""),"none")</f>
        <v>none</v>
      </c>
      <c r="D42" s="8">
        <f>IFERROR(__xludf.DUMMYFUNCTION("""COMPUTED_VALUE"""),99.0)</f>
        <v>99</v>
      </c>
      <c r="E42" s="8" t="str">
        <f>IFERROR(__xludf.DUMMYFUNCTION("""COMPUTED_VALUE"""),"head0")</f>
        <v>head0</v>
      </c>
      <c r="F42" s="8" t="str">
        <f>IFERROR(__xludf.DUMMYFUNCTION("""COMPUTED_VALUE"""),"")</f>
        <v/>
      </c>
    </row>
  </sheetData>
  <customSheetViews>
    <customSheetView guid="{B07D8034-17A6-4979-AD0A-EDA5D4406C74}" filter="1" showAutoFilter="1">
      <autoFilter ref="$A$1:$F$42"/>
    </customSheetView>
  </customSheetView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5.13"/>
    <col customWidth="1" min="3" max="3" width="7.25"/>
    <col customWidth="1" min="4" max="4" width="9.38"/>
    <col customWidth="1" min="5" max="5" width="8.0"/>
    <col customWidth="1" min="6" max="6" width="25.13"/>
  </cols>
  <sheetData>
    <row r="1" ht="37.5" customHeight="1">
      <c r="A1" s="10" t="s">
        <v>0</v>
      </c>
      <c r="B1" s="10" t="s">
        <v>1</v>
      </c>
      <c r="C1" s="10" t="s">
        <v>2</v>
      </c>
      <c r="D1" s="10" t="s">
        <v>3</v>
      </c>
      <c r="E1" s="10" t="s">
        <v>4</v>
      </c>
      <c r="F1" s="10" t="s">
        <v>5</v>
      </c>
    </row>
    <row r="2" ht="37.5" customHeight="1">
      <c r="A2" s="8" t="str">
        <f>IFERROR(__xludf.DUMMYFUNCTION("FILTER('All Costumes'!A2:F645, 'All Costumes'!E2:E645=""head1"")"),"002_the inner eye.anm2")</f>
        <v>002_the inner eye.anm2</v>
      </c>
      <c r="B2" s="8">
        <f>IFERROR(__xludf.DUMMYFUNCTION("""COMPUTED_VALUE"""),2.0)</f>
        <v>2</v>
      </c>
      <c r="C2" s="8" t="str">
        <f>IFERROR(__xludf.DUMMYFUNCTION("""COMPUTED_VALUE"""),"passive")</f>
        <v>passive</v>
      </c>
      <c r="D2" s="8">
        <f>IFERROR(__xludf.DUMMYFUNCTION("""COMPUTED_VALUE"""),0.0)</f>
        <v>0</v>
      </c>
      <c r="E2" s="8" t="str">
        <f>IFERROR(__xludf.DUMMYFUNCTION("""COMPUTED_VALUE"""),"head1")</f>
        <v>head1</v>
      </c>
      <c r="F2" s="8" t="str">
        <f>IFERROR(__xludf.DUMMYFUNCTION("""COMPUTED_VALUE"""),"")</f>
        <v/>
      </c>
    </row>
    <row r="3" ht="37.5" customHeight="1">
      <c r="A3" s="8" t="str">
        <f>IFERROR(__xludf.DUMMYFUNCTION("""COMPUTED_VALUE"""),"n002_i found pills.anm2")</f>
        <v>n002_i found pills.anm2</v>
      </c>
      <c r="B3" s="8">
        <f>IFERROR(__xludf.DUMMYFUNCTION("""COMPUTED_VALUE"""),2.0)</f>
        <v>2</v>
      </c>
      <c r="C3" s="8" t="str">
        <f>IFERROR(__xludf.DUMMYFUNCTION("""COMPUTED_VALUE"""),"none")</f>
        <v>none</v>
      </c>
      <c r="D3" s="8">
        <f>IFERROR(__xludf.DUMMYFUNCTION("""COMPUTED_VALUE"""),0.0)</f>
        <v>0</v>
      </c>
      <c r="E3" s="8" t="str">
        <f>IFERROR(__xludf.DUMMYFUNCTION("""COMPUTED_VALUE"""),"head1")</f>
        <v>head1</v>
      </c>
      <c r="F3" s="8" t="str">
        <f>IFERROR(__xludf.DUMMYFUNCTION("""COMPUTED_VALUE"""),"")</f>
        <v/>
      </c>
    </row>
    <row r="4" ht="37.5" customHeight="1">
      <c r="A4" s="8" t="str">
        <f>IFERROR(__xludf.DUMMYFUNCTION("""COMPUTED_VALUE"""),"003_spoon bender.anm2")</f>
        <v>003_spoon bender.anm2</v>
      </c>
      <c r="B4" s="8">
        <f>IFERROR(__xludf.DUMMYFUNCTION("""COMPUTED_VALUE"""),3.0)</f>
        <v>3</v>
      </c>
      <c r="C4" s="8" t="str">
        <f>IFERROR(__xludf.DUMMYFUNCTION("""COMPUTED_VALUE"""),"passive")</f>
        <v>passive</v>
      </c>
      <c r="D4" s="8">
        <f>IFERROR(__xludf.DUMMYFUNCTION("""COMPUTED_VALUE"""),0.0)</f>
        <v>0</v>
      </c>
      <c r="E4" s="8" t="str">
        <f>IFERROR(__xludf.DUMMYFUNCTION("""COMPUTED_VALUE"""),"head1")</f>
        <v>head1</v>
      </c>
      <c r="F4" s="8" t="str">
        <f>IFERROR(__xludf.DUMMYFUNCTION("""COMPUTED_VALUE"""),"")</f>
        <v/>
      </c>
    </row>
    <row r="5" ht="37.5" customHeight="1">
      <c r="A5" s="8" t="str">
        <f>IFERROR(__xludf.DUMMYFUNCTION("""COMPUTED_VALUE"""),"210_gnawedleaf_statue.anm2")</f>
        <v>210_gnawedleaf_statue.anm2</v>
      </c>
      <c r="B5" s="8">
        <f>IFERROR(__xludf.DUMMYFUNCTION("""COMPUTED_VALUE"""),4.0)</f>
        <v>4</v>
      </c>
      <c r="C5" s="8" t="str">
        <f>IFERROR(__xludf.DUMMYFUNCTION("""COMPUTED_VALUE"""),"none")</f>
        <v>none</v>
      </c>
      <c r="D5" s="8">
        <f>IFERROR(__xludf.DUMMYFUNCTION("""COMPUTED_VALUE"""),50.0)</f>
        <v>50</v>
      </c>
      <c r="E5" s="8" t="str">
        <f>IFERROR(__xludf.DUMMYFUNCTION("""COMPUTED_VALUE"""),"head1")</f>
        <v>head1</v>
      </c>
      <c r="F5" s="8" t="str">
        <f>IFERROR(__xludf.DUMMYFUNCTION("""COMPUTED_VALUE"""),"")</f>
        <v/>
      </c>
    </row>
    <row r="6" ht="37.5" customHeight="1">
      <c r="A6" s="8" t="str">
        <f>IFERROR(__xludf.DUMMYFUNCTION("""COMPUTED_VALUE"""),"005_my reflection.anm2")</f>
        <v>005_my reflection.anm2</v>
      </c>
      <c r="B6" s="8">
        <f>IFERROR(__xludf.DUMMYFUNCTION("""COMPUTED_VALUE"""),5.0)</f>
        <v>5</v>
      </c>
      <c r="C6" s="8" t="str">
        <f>IFERROR(__xludf.DUMMYFUNCTION("""COMPUTED_VALUE"""),"passive")</f>
        <v>passive</v>
      </c>
      <c r="D6" s="8">
        <f>IFERROR(__xludf.DUMMYFUNCTION("""COMPUTED_VALUE"""),0.0)</f>
        <v>0</v>
      </c>
      <c r="E6" s="8" t="str">
        <f>IFERROR(__xludf.DUMMYFUNCTION("""COMPUTED_VALUE"""),"head1")</f>
        <v>head1</v>
      </c>
      <c r="F6" s="8" t="str">
        <f>IFERROR(__xludf.DUMMYFUNCTION("""COMPUTED_VALUE"""),"")</f>
        <v/>
      </c>
    </row>
    <row r="7" ht="37.5" customHeight="1">
      <c r="A7" s="8" t="str">
        <f>IFERROR(__xludf.DUMMYFUNCTION("""COMPUTED_VALUE"""),"017_skeleton key.anm2")</f>
        <v>017_skeleton key.anm2</v>
      </c>
      <c r="B7" s="8">
        <f>IFERROR(__xludf.DUMMYFUNCTION("""COMPUTED_VALUE"""),17.0)</f>
        <v>17</v>
      </c>
      <c r="C7" s="8" t="str">
        <f>IFERROR(__xludf.DUMMYFUNCTION("""COMPUTED_VALUE"""),"passive")</f>
        <v>passive</v>
      </c>
      <c r="D7" s="8">
        <f>IFERROR(__xludf.DUMMYFUNCTION("""COMPUTED_VALUE"""),0.0)</f>
        <v>0</v>
      </c>
      <c r="E7" s="8" t="str">
        <f>IFERROR(__xludf.DUMMYFUNCTION("""COMPUTED_VALUE"""),"head1")</f>
        <v>head1</v>
      </c>
      <c r="F7" s="8" t="str">
        <f>IFERROR(__xludf.DUMMYFUNCTION("""COMPUTED_VALUE"""),"")</f>
        <v/>
      </c>
    </row>
    <row r="8" ht="37.5" customHeight="1">
      <c r="A8" s="8" t="str">
        <f>IFERROR(__xludf.DUMMYFUNCTION("""COMPUTED_VALUE"""),"019_boom.anm2")</f>
        <v>019_boom.anm2</v>
      </c>
      <c r="B8" s="8">
        <f>IFERROR(__xludf.DUMMYFUNCTION("""COMPUTED_VALUE"""),19.0)</f>
        <v>19</v>
      </c>
      <c r="C8" s="8" t="str">
        <f>IFERROR(__xludf.DUMMYFUNCTION("""COMPUTED_VALUE"""),"passive")</f>
        <v>passive</v>
      </c>
      <c r="D8" s="8">
        <f>IFERROR(__xludf.DUMMYFUNCTION("""COMPUTED_VALUE"""),0.0)</f>
        <v>0</v>
      </c>
      <c r="E8" s="8" t="str">
        <f>IFERROR(__xludf.DUMMYFUNCTION("""COMPUTED_VALUE"""),"head1")</f>
        <v>head1</v>
      </c>
      <c r="F8" s="8" t="str">
        <f>IFERROR(__xludf.DUMMYFUNCTION("""COMPUTED_VALUE"""),"")</f>
        <v/>
      </c>
    </row>
    <row r="9" ht="37.5" customHeight="1">
      <c r="A9" s="8" t="str">
        <f>IFERROR(__xludf.DUMMYFUNCTION("""COMPUTED_VALUE"""),"027_wooden spoon.anm2")</f>
        <v>027_wooden spoon.anm2</v>
      </c>
      <c r="B9" s="8">
        <f>IFERROR(__xludf.DUMMYFUNCTION("""COMPUTED_VALUE"""),27.0)</f>
        <v>27</v>
      </c>
      <c r="C9" s="8" t="str">
        <f>IFERROR(__xludf.DUMMYFUNCTION("""COMPUTED_VALUE"""),"passive")</f>
        <v>passive</v>
      </c>
      <c r="D9" s="8">
        <f>IFERROR(__xludf.DUMMYFUNCTION("""COMPUTED_VALUE"""),0.0)</f>
        <v>0</v>
      </c>
      <c r="E9" s="8" t="str">
        <f>IFERROR(__xludf.DUMMYFUNCTION("""COMPUTED_VALUE"""),"head1")</f>
        <v>head1</v>
      </c>
      <c r="F9" s="8" t="str">
        <f>IFERROR(__xludf.DUMMYFUNCTION("""COMPUTED_VALUE"""),"")</f>
        <v/>
      </c>
    </row>
    <row r="10" ht="37.5" customHeight="1">
      <c r="A10" s="8" t="str">
        <f>IFERROR(__xludf.DUMMYFUNCTION("""COMPUTED_VALUE"""),"n034_transformation_spiderbaby.anm2")</f>
        <v>n034_transformation_spiderbaby.anm2</v>
      </c>
      <c r="B10" s="8">
        <f>IFERROR(__xludf.DUMMYFUNCTION("""COMPUTED_VALUE"""),39.0)</f>
        <v>39</v>
      </c>
      <c r="C10" s="8" t="str">
        <f>IFERROR(__xludf.DUMMYFUNCTION("""COMPUTED_VALUE"""),"none")</f>
        <v>none</v>
      </c>
      <c r="D10" s="8">
        <f>IFERROR(__xludf.DUMMYFUNCTION("""COMPUTED_VALUE"""),99.0)</f>
        <v>99</v>
      </c>
      <c r="E10" s="8" t="str">
        <f>IFERROR(__xludf.DUMMYFUNCTION("""COMPUTED_VALUE"""),"head1")</f>
        <v>head1</v>
      </c>
      <c r="F10" s="8" t="str">
        <f>IFERROR(__xludf.DUMMYFUNCTION("""COMPUTED_VALUE"""),"")</f>
        <v/>
      </c>
    </row>
    <row r="11" ht="37.5" customHeight="1">
      <c r="A11" s="8" t="str">
        <f>IFERROR(__xludf.DUMMYFUNCTION("""COMPUTED_VALUE"""),"n043_sacrificial altar.anm2")</f>
        <v>n043_sacrificial altar.anm2</v>
      </c>
      <c r="B11" s="8">
        <f>IFERROR(__xludf.DUMMYFUNCTION("""COMPUTED_VALUE"""),43.0)</f>
        <v>43</v>
      </c>
      <c r="C11" s="8" t="str">
        <f>IFERROR(__xludf.DUMMYFUNCTION("""COMPUTED_VALUE"""),"none")</f>
        <v>none</v>
      </c>
      <c r="D11" s="8">
        <f>IFERROR(__xludf.DUMMYFUNCTION("""COMPUTED_VALUE"""),0.0)</f>
        <v>0</v>
      </c>
      <c r="E11" s="8" t="str">
        <f>IFERROR(__xludf.DUMMYFUNCTION("""COMPUTED_VALUE"""),"head1")</f>
        <v>head1</v>
      </c>
      <c r="F11" s="8" t="str">
        <f>IFERROR(__xludf.DUMMYFUNCTION("""COMPUTED_VALUE"""),"")</f>
        <v/>
      </c>
    </row>
    <row r="12" ht="37.5" customHeight="1">
      <c r="A12" s="8" t="str">
        <f>IFERROR(__xludf.DUMMYFUNCTION("""COMPUTED_VALUE"""),"049_shoop da whoop.anm2")</f>
        <v>049_shoop da whoop.anm2</v>
      </c>
      <c r="B12" s="8">
        <f>IFERROR(__xludf.DUMMYFUNCTION("""COMPUTED_VALUE"""),49.0)</f>
        <v>49</v>
      </c>
      <c r="C12" s="8" t="str">
        <f>IFERROR(__xludf.DUMMYFUNCTION("""COMPUTED_VALUE"""),"active")</f>
        <v>active</v>
      </c>
      <c r="D12" s="8">
        <f>IFERROR(__xludf.DUMMYFUNCTION("""COMPUTED_VALUE"""),30.0)</f>
        <v>30</v>
      </c>
      <c r="E12" s="8" t="str">
        <f>IFERROR(__xludf.DUMMYFUNCTION("""COMPUTED_VALUE"""),"head1")</f>
        <v>head1</v>
      </c>
      <c r="F12" s="8" t="str">
        <f>IFERROR(__xludf.DUMMYFUNCTION("""COMPUTED_VALUE"""),"")</f>
        <v/>
      </c>
    </row>
    <row r="13" ht="37.5" customHeight="1">
      <c r="A13" s="8" t="str">
        <f>IFERROR(__xludf.DUMMYFUNCTION("""COMPUTED_VALUE"""),"007x_ithurts2.anm2")</f>
        <v>007x_ithurts2.anm2</v>
      </c>
      <c r="B13" s="8">
        <f>IFERROR(__xludf.DUMMYFUNCTION("""COMPUTED_VALUE"""),57.0)</f>
        <v>57</v>
      </c>
      <c r="C13" s="8" t="str">
        <f>IFERROR(__xludf.DUMMYFUNCTION("""COMPUTED_VALUE"""),"none")</f>
        <v>none</v>
      </c>
      <c r="D13" s="8">
        <f>IFERROR(__xludf.DUMMYFUNCTION("""COMPUTED_VALUE"""),10.0)</f>
        <v>10</v>
      </c>
      <c r="E13" s="8" t="str">
        <f>IFERROR(__xludf.DUMMYFUNCTION("""COMPUTED_VALUE"""),"head1")</f>
        <v>head1</v>
      </c>
      <c r="F13" s="8" t="str">
        <f>IFERROR(__xludf.DUMMYFUNCTION("""COMPUTED_VALUE"""),"")</f>
        <v/>
      </c>
    </row>
    <row r="14" ht="37.5" customHeight="1">
      <c r="A14" s="8" t="str">
        <f>IFERROR(__xludf.DUMMYFUNCTION("""COMPUTED_VALUE"""),"663_toothandnail_statue.anm2")</f>
        <v>663_toothandnail_statue.anm2</v>
      </c>
      <c r="B14" s="8">
        <f>IFERROR(__xludf.DUMMYFUNCTION("""COMPUTED_VALUE"""),59.0)</f>
        <v>59</v>
      </c>
      <c r="C14" s="8" t="str">
        <f>IFERROR(__xludf.DUMMYFUNCTION("""COMPUTED_VALUE"""),"none")</f>
        <v>none</v>
      </c>
      <c r="D14" s="8">
        <f>IFERROR(__xludf.DUMMYFUNCTION("""COMPUTED_VALUE"""),51.0)</f>
        <v>51</v>
      </c>
      <c r="E14" s="8" t="str">
        <f>IFERROR(__xludf.DUMMYFUNCTION("""COMPUTED_VALUE"""),"head1")</f>
        <v>head1</v>
      </c>
      <c r="F14" s="8" t="str">
        <f>IFERROR(__xludf.DUMMYFUNCTION("""COMPUTED_VALUE"""),"")</f>
        <v/>
      </c>
    </row>
    <row r="15" ht="37.5" customHeight="1">
      <c r="A15" s="8" t="str">
        <f>IFERROR(__xludf.DUMMYFUNCTION("""COMPUTED_VALUE"""),"n_reverse_chariot.anm2")</f>
        <v>n_reverse_chariot.anm2</v>
      </c>
      <c r="B15" s="8">
        <f>IFERROR(__xludf.DUMMYFUNCTION("""COMPUTED_VALUE"""),63.0)</f>
        <v>63</v>
      </c>
      <c r="C15" s="8" t="str">
        <f>IFERROR(__xludf.DUMMYFUNCTION("""COMPUTED_VALUE"""),"none")</f>
        <v>none</v>
      </c>
      <c r="D15" s="8">
        <f>IFERROR(__xludf.DUMMYFUNCTION("""COMPUTED_VALUE"""),51.0)</f>
        <v>51</v>
      </c>
      <c r="E15" s="8" t="str">
        <f>IFERROR(__xludf.DUMMYFUNCTION("""COMPUTED_VALUE"""),"head1")</f>
        <v>head1</v>
      </c>
      <c r="F15" s="8" t="str">
        <f>IFERROR(__xludf.DUMMYFUNCTION("""COMPUTED_VALUE"""),"")</f>
        <v/>
      </c>
    </row>
    <row r="16" ht="37.5" customHeight="1">
      <c r="A16" s="8" t="str">
        <f>IFERROR(__xludf.DUMMYFUNCTION("""COMPUTED_VALUE"""),"n_reverse_chariot_alt.anm2")</f>
        <v>n_reverse_chariot_alt.anm2</v>
      </c>
      <c r="B16" s="8">
        <f>IFERROR(__xludf.DUMMYFUNCTION("""COMPUTED_VALUE"""),68.0)</f>
        <v>68</v>
      </c>
      <c r="C16" s="8" t="str">
        <f>IFERROR(__xludf.DUMMYFUNCTION("""COMPUTED_VALUE"""),"none")</f>
        <v>none</v>
      </c>
      <c r="D16" s="8">
        <f>IFERROR(__xludf.DUMMYFUNCTION("""COMPUTED_VALUE"""),51.0)</f>
        <v>51</v>
      </c>
      <c r="E16" s="8" t="str">
        <f>IFERROR(__xludf.DUMMYFUNCTION("""COMPUTED_VALUE"""),"head1")</f>
        <v>head1</v>
      </c>
      <c r="F16" s="8" t="str">
        <f>IFERROR(__xludf.DUMMYFUNCTION("""COMPUTED_VALUE"""),"")</f>
        <v/>
      </c>
    </row>
    <row r="17" ht="37.5" customHeight="1">
      <c r="A17" s="8" t="str">
        <f>IFERROR(__xludf.DUMMYFUNCTION("""COMPUTED_VALUE"""),"077_my little unicorn.anm2")</f>
        <v>077_my little unicorn.anm2</v>
      </c>
      <c r="B17" s="8">
        <f>IFERROR(__xludf.DUMMYFUNCTION("""COMPUTED_VALUE"""),77.0)</f>
        <v>77</v>
      </c>
      <c r="C17" s="8" t="str">
        <f>IFERROR(__xludf.DUMMYFUNCTION("""COMPUTED_VALUE"""),"active")</f>
        <v>active</v>
      </c>
      <c r="D17" s="8">
        <f>IFERROR(__xludf.DUMMYFUNCTION("""COMPUTED_VALUE"""),0.0)</f>
        <v>0</v>
      </c>
      <c r="E17" s="8" t="str">
        <f>IFERROR(__xludf.DUMMYFUNCTION("""COMPUTED_VALUE"""),"head1")</f>
        <v>head1</v>
      </c>
      <c r="F17" s="8" t="str">
        <f>IFERROR(__xludf.DUMMYFUNCTION("""COMPUTED_VALUE"""),"")</f>
        <v/>
      </c>
    </row>
    <row r="18" ht="37.5" customHeight="1">
      <c r="A18" s="8" t="str">
        <f>IFERROR(__xludf.DUMMYFUNCTION("""COMPUTED_VALUE"""),"079_the mark.anm2")</f>
        <v>079_the mark.anm2</v>
      </c>
      <c r="B18" s="8">
        <f>IFERROR(__xludf.DUMMYFUNCTION("""COMPUTED_VALUE"""),79.0)</f>
        <v>79</v>
      </c>
      <c r="C18" s="8" t="str">
        <f>IFERROR(__xludf.DUMMYFUNCTION("""COMPUTED_VALUE"""),"passive")</f>
        <v>passive</v>
      </c>
      <c r="D18" s="8">
        <f>IFERROR(__xludf.DUMMYFUNCTION("""COMPUTED_VALUE"""),0.0)</f>
        <v>0</v>
      </c>
      <c r="E18" s="8" t="str">
        <f>IFERROR(__xludf.DUMMYFUNCTION("""COMPUTED_VALUE"""),"head1")</f>
        <v>head1</v>
      </c>
      <c r="F18" s="8" t="str">
        <f>IFERROR(__xludf.DUMMYFUNCTION("""COMPUTED_VALUE"""),"")</f>
        <v/>
      </c>
    </row>
    <row r="19" ht="37.5" customHeight="1">
      <c r="A19" s="8" t="str">
        <f>IFERROR(__xludf.DUMMYFUNCTION("""COMPUTED_VALUE"""),"character_b13_keeper.anm2")</f>
        <v>character_b13_keeper.anm2</v>
      </c>
      <c r="B19" s="8">
        <f>IFERROR(__xludf.DUMMYFUNCTION("""COMPUTED_VALUE"""),91.0)</f>
        <v>91</v>
      </c>
      <c r="C19" s="8" t="str">
        <f>IFERROR(__xludf.DUMMYFUNCTION("""COMPUTED_VALUE"""),"none")</f>
        <v>none</v>
      </c>
      <c r="D19" s="8">
        <f>IFERROR(__xludf.DUMMYFUNCTION("""COMPUTED_VALUE"""),99.0)</f>
        <v>99</v>
      </c>
      <c r="E19" s="8" t="str">
        <f>IFERROR(__xludf.DUMMYFUNCTION("""COMPUTED_VALUE"""),"head1")</f>
        <v>head1</v>
      </c>
      <c r="F19" s="8" t="str">
        <f>IFERROR(__xludf.DUMMYFUNCTION("""COMPUTED_VALUE"""),"")</f>
        <v/>
      </c>
    </row>
    <row r="20" ht="37.5" customHeight="1">
      <c r="A20" s="8" t="str">
        <f>IFERROR(__xludf.DUMMYFUNCTION("""COMPUTED_VALUE"""),"093_the gamekid.anm2")</f>
        <v>093_the gamekid.anm2</v>
      </c>
      <c r="B20" s="8">
        <f>IFERROR(__xludf.DUMMYFUNCTION("""COMPUTED_VALUE"""),93.0)</f>
        <v>93</v>
      </c>
      <c r="C20" s="8" t="str">
        <f>IFERROR(__xludf.DUMMYFUNCTION("""COMPUTED_VALUE"""),"active")</f>
        <v>active</v>
      </c>
      <c r="D20" s="8">
        <f>IFERROR(__xludf.DUMMYFUNCTION("""COMPUTED_VALUE"""),100.0)</f>
        <v>100</v>
      </c>
      <c r="E20" s="8" t="str">
        <f>IFERROR(__xludf.DUMMYFUNCTION("""COMPUTED_VALUE"""),"head1")</f>
        <v>head1</v>
      </c>
      <c r="F20" s="8" t="str">
        <f>IFERROR(__xludf.DUMMYFUNCTION("""COMPUTED_VALUE"""),"")</f>
        <v/>
      </c>
    </row>
    <row r="21" ht="37.5" customHeight="1">
      <c r="A21" s="8" t="str">
        <f>IFERROR(__xludf.DUMMYFUNCTION("""COMPUTED_VALUE"""),"n_azazelsrage_1.anm2")</f>
        <v>n_azazelsrage_1.anm2</v>
      </c>
      <c r="B21" s="8">
        <f>IFERROR(__xludf.DUMMYFUNCTION("""COMPUTED_VALUE"""),96.0)</f>
        <v>96</v>
      </c>
      <c r="C21" s="8" t="str">
        <f>IFERROR(__xludf.DUMMYFUNCTION("""COMPUTED_VALUE"""),"none")</f>
        <v>none</v>
      </c>
      <c r="D21" s="8">
        <f>IFERROR(__xludf.DUMMYFUNCTION("""COMPUTED_VALUE"""),1.0)</f>
        <v>1</v>
      </c>
      <c r="E21" s="8" t="str">
        <f>IFERROR(__xludf.DUMMYFUNCTION("""COMPUTED_VALUE"""),"head1")</f>
        <v>head1</v>
      </c>
      <c r="F21" s="8" t="str">
        <f>IFERROR(__xludf.DUMMYFUNCTION("""COMPUTED_VALUE"""),"")</f>
        <v/>
      </c>
    </row>
    <row r="22" ht="37.5" customHeight="1">
      <c r="A22" s="8" t="str">
        <f>IFERROR(__xludf.DUMMYFUNCTION("""COMPUTED_VALUE"""),"n_azazelsrage_2.anm2")</f>
        <v>n_azazelsrage_2.anm2</v>
      </c>
      <c r="B22" s="8">
        <f>IFERROR(__xludf.DUMMYFUNCTION("""COMPUTED_VALUE"""),97.0)</f>
        <v>97</v>
      </c>
      <c r="C22" s="8" t="str">
        <f>IFERROR(__xludf.DUMMYFUNCTION("""COMPUTED_VALUE"""),"none")</f>
        <v>none</v>
      </c>
      <c r="D22" s="8">
        <f>IFERROR(__xludf.DUMMYFUNCTION("""COMPUTED_VALUE"""),1.0)</f>
        <v>1</v>
      </c>
      <c r="E22" s="8" t="str">
        <f>IFERROR(__xludf.DUMMYFUNCTION("""COMPUTED_VALUE"""),"head1")</f>
        <v>head1</v>
      </c>
      <c r="F22" s="8" t="str">
        <f>IFERROR(__xludf.DUMMYFUNCTION("""COMPUTED_VALUE"""),"")</f>
        <v/>
      </c>
    </row>
    <row r="23" ht="37.5" customHeight="1">
      <c r="A23" s="8" t="str">
        <f>IFERROR(__xludf.DUMMYFUNCTION("""COMPUTED_VALUE"""),"n_azazelsrage_3.anm2")</f>
        <v>n_azazelsrage_3.anm2</v>
      </c>
      <c r="B23" s="8">
        <f>IFERROR(__xludf.DUMMYFUNCTION("""COMPUTED_VALUE"""),98.0)</f>
        <v>98</v>
      </c>
      <c r="C23" s="8" t="str">
        <f>IFERROR(__xludf.DUMMYFUNCTION("""COMPUTED_VALUE"""),"none")</f>
        <v>none</v>
      </c>
      <c r="D23" s="8">
        <f>IFERROR(__xludf.DUMMYFUNCTION("""COMPUTED_VALUE"""),1.0)</f>
        <v>1</v>
      </c>
      <c r="E23" s="8" t="str">
        <f>IFERROR(__xludf.DUMMYFUNCTION("""COMPUTED_VALUE"""),"head1")</f>
        <v>head1</v>
      </c>
      <c r="F23" s="8" t="str">
        <f>IFERROR(__xludf.DUMMYFUNCTION("""COMPUTED_VALUE"""),"")</f>
        <v/>
      </c>
    </row>
    <row r="24" ht="37.5" customHeight="1">
      <c r="A24" s="8" t="str">
        <f>IFERROR(__xludf.DUMMYFUNCTION("""COMPUTED_VALUE"""),"n_forgotten_bomb.anm2")</f>
        <v>n_forgotten_bomb.anm2</v>
      </c>
      <c r="B24" s="8">
        <f>IFERROR(__xludf.DUMMYFUNCTION("""COMPUTED_VALUE"""),106.0)</f>
        <v>106</v>
      </c>
      <c r="C24" s="8" t="str">
        <f>IFERROR(__xludf.DUMMYFUNCTION("""COMPUTED_VALUE"""),"none")</f>
        <v>none</v>
      </c>
      <c r="D24" s="8">
        <f>IFERROR(__xludf.DUMMYFUNCTION("""COMPUTED_VALUE"""),101.0)</f>
        <v>101</v>
      </c>
      <c r="E24" s="8" t="str">
        <f>IFERROR(__xludf.DUMMYFUNCTION("""COMPUTED_VALUE"""),"head1")</f>
        <v>head1</v>
      </c>
      <c r="F24" s="8" t="str">
        <f>IFERROR(__xludf.DUMMYFUNCTION("""COMPUTED_VALUE"""),"")</f>
        <v/>
      </c>
    </row>
    <row r="25" ht="37.5" customHeight="1">
      <c r="A25" s="8" t="str">
        <f>IFERROR(__xludf.DUMMYFUNCTION("""COMPUTED_VALUE"""),"119_blood bag.anm2")</f>
        <v>119_blood bag.anm2</v>
      </c>
      <c r="B25" s="8">
        <f>IFERROR(__xludf.DUMMYFUNCTION("""COMPUTED_VALUE"""),119.0)</f>
        <v>119</v>
      </c>
      <c r="C25" s="8" t="str">
        <f>IFERROR(__xludf.DUMMYFUNCTION("""COMPUTED_VALUE"""),"passive")</f>
        <v>passive</v>
      </c>
      <c r="D25" s="8">
        <f>IFERROR(__xludf.DUMMYFUNCTION("""COMPUTED_VALUE"""),0.0)</f>
        <v>0</v>
      </c>
      <c r="E25" s="8" t="str">
        <f>IFERROR(__xludf.DUMMYFUNCTION("""COMPUTED_VALUE"""),"head1")</f>
        <v>head1</v>
      </c>
      <c r="F25" s="8" t="str">
        <f>IFERROR(__xludf.DUMMYFUNCTION("""COMPUTED_VALUE"""),"")</f>
        <v/>
      </c>
    </row>
    <row r="26" ht="37.5" customHeight="1">
      <c r="A26" s="8" t="str">
        <f>IFERROR(__xludf.DUMMYFUNCTION("""COMPUTED_VALUE"""),"n_horse_puberty.anm2")</f>
        <v>n_horse_puberty.anm2</v>
      </c>
      <c r="B26" s="8">
        <f>IFERROR(__xludf.DUMMYFUNCTION("""COMPUTED_VALUE"""),119.0)</f>
        <v>119</v>
      </c>
      <c r="C26" s="8" t="str">
        <f>IFERROR(__xludf.DUMMYFUNCTION("""COMPUTED_VALUE"""),"none")</f>
        <v>none</v>
      </c>
      <c r="D26" s="8">
        <f>IFERROR(__xludf.DUMMYFUNCTION("""COMPUTED_VALUE"""),0.0)</f>
        <v>0</v>
      </c>
      <c r="E26" s="8" t="str">
        <f>IFERROR(__xludf.DUMMYFUNCTION("""COMPUTED_VALUE"""),"head1")</f>
        <v>head1</v>
      </c>
      <c r="F26" s="8" t="str">
        <f>IFERROR(__xludf.DUMMYFUNCTION("""COMPUTED_VALUE"""),"")</f>
        <v/>
      </c>
    </row>
    <row r="27" ht="37.5" customHeight="1">
      <c r="A27" s="8" t="str">
        <f>IFERROR(__xludf.DUMMYFUNCTION("""COMPUTED_VALUE"""),"138_stigmata.anm2")</f>
        <v>138_stigmata.anm2</v>
      </c>
      <c r="B27" s="8">
        <f>IFERROR(__xludf.DUMMYFUNCTION("""COMPUTED_VALUE"""),138.0)</f>
        <v>138</v>
      </c>
      <c r="C27" s="8" t="str">
        <f>IFERROR(__xludf.DUMMYFUNCTION("""COMPUTED_VALUE"""),"passive")</f>
        <v>passive</v>
      </c>
      <c r="D27" s="8">
        <f>IFERROR(__xludf.DUMMYFUNCTION("""COMPUTED_VALUE"""),0.0)</f>
        <v>0</v>
      </c>
      <c r="E27" s="8" t="str">
        <f>IFERROR(__xludf.DUMMYFUNCTION("""COMPUTED_VALUE"""),"head1")</f>
        <v>head1</v>
      </c>
      <c r="F27" s="8" t="str">
        <f>IFERROR(__xludf.DUMMYFUNCTION("""COMPUTED_VALUE"""),"")</f>
        <v/>
      </c>
    </row>
    <row r="28" ht="37.5" customHeight="1">
      <c r="A28" s="8" t="str">
        <f>IFERROR(__xludf.DUMMYFUNCTION("""COMPUTED_VALUE"""),"150_tough love.anm2")</f>
        <v>150_tough love.anm2</v>
      </c>
      <c r="B28" s="8">
        <f>IFERROR(__xludf.DUMMYFUNCTION("""COMPUTED_VALUE"""),150.0)</f>
        <v>150</v>
      </c>
      <c r="C28" s="8" t="str">
        <f>IFERROR(__xludf.DUMMYFUNCTION("""COMPUTED_VALUE"""),"passive")</f>
        <v>passive</v>
      </c>
      <c r="D28" s="8">
        <f>IFERROR(__xludf.DUMMYFUNCTION("""COMPUTED_VALUE"""),0.0)</f>
        <v>0</v>
      </c>
      <c r="E28" s="8" t="str">
        <f>IFERROR(__xludf.DUMMYFUNCTION("""COMPUTED_VALUE"""),"head1")</f>
        <v>head1</v>
      </c>
      <c r="F28" s="8" t="str">
        <f>IFERROR(__xludf.DUMMYFUNCTION("""COMPUTED_VALUE"""),"")</f>
        <v/>
      </c>
    </row>
    <row r="29" ht="37.5" customHeight="1">
      <c r="A29" s="8" t="str">
        <f>IFERROR(__xludf.DUMMYFUNCTION("""COMPUTED_VALUE"""),"153_mutant spider.anm2")</f>
        <v>153_mutant spider.anm2</v>
      </c>
      <c r="B29" s="8">
        <f>IFERROR(__xludf.DUMMYFUNCTION("""COMPUTED_VALUE"""),153.0)</f>
        <v>153</v>
      </c>
      <c r="C29" s="8" t="str">
        <f>IFERROR(__xludf.DUMMYFUNCTION("""COMPUTED_VALUE"""),"passive")</f>
        <v>passive</v>
      </c>
      <c r="D29" s="8">
        <f>IFERROR(__xludf.DUMMYFUNCTION("""COMPUTED_VALUE"""),0.0)</f>
        <v>0</v>
      </c>
      <c r="E29" s="8" t="str">
        <f>IFERROR(__xludf.DUMMYFUNCTION("""COMPUTED_VALUE"""),"head1")</f>
        <v>head1</v>
      </c>
      <c r="F29" s="8" t="str">
        <f>IFERROR(__xludf.DUMMYFUNCTION("""COMPUTED_VALUE"""),"")</f>
        <v/>
      </c>
    </row>
    <row r="30" ht="37.5" customHeight="1">
      <c r="A30" s="8" t="str">
        <f>IFERROR(__xludf.DUMMYFUNCTION("""COMPUTED_VALUE"""),"155_the peeper.anm2")</f>
        <v>155_the peeper.anm2</v>
      </c>
      <c r="B30" s="8">
        <f>IFERROR(__xludf.DUMMYFUNCTION("""COMPUTED_VALUE"""),155.0)</f>
        <v>155</v>
      </c>
      <c r="C30" s="8" t="str">
        <f>IFERROR(__xludf.DUMMYFUNCTION("""COMPUTED_VALUE"""),"familiar")</f>
        <v>familiar</v>
      </c>
      <c r="D30" s="8">
        <f>IFERROR(__xludf.DUMMYFUNCTION("""COMPUTED_VALUE"""),0.0)</f>
        <v>0</v>
      </c>
      <c r="E30" s="8" t="str">
        <f>IFERROR(__xludf.DUMMYFUNCTION("""COMPUTED_VALUE"""),"head1")</f>
        <v>head1</v>
      </c>
      <c r="F30" s="8" t="str">
        <f>IFERROR(__xludf.DUMMYFUNCTION("""COMPUTED_VALUE"""),"")</f>
        <v/>
      </c>
    </row>
    <row r="31" ht="37.5" customHeight="1">
      <c r="A31" s="8" t="str">
        <f>IFERROR(__xludf.DUMMYFUNCTION("""COMPUTED_VALUE"""),"165_cat-o-nine-tails.anm2")</f>
        <v>165_cat-o-nine-tails.anm2</v>
      </c>
      <c r="B31" s="8">
        <f>IFERROR(__xludf.DUMMYFUNCTION("""COMPUTED_VALUE"""),165.0)</f>
        <v>165</v>
      </c>
      <c r="C31" s="8" t="str">
        <f>IFERROR(__xludf.DUMMYFUNCTION("""COMPUTED_VALUE"""),"passive")</f>
        <v>passive</v>
      </c>
      <c r="D31" s="8">
        <f>IFERROR(__xludf.DUMMYFUNCTION("""COMPUTED_VALUE"""),0.0)</f>
        <v>0</v>
      </c>
      <c r="E31" s="8" t="str">
        <f>IFERROR(__xludf.DUMMYFUNCTION("""COMPUTED_VALUE"""),"head1")</f>
        <v>head1</v>
      </c>
      <c r="F31" s="8" t="str">
        <f>IFERROR(__xludf.DUMMYFUNCTION("""COMPUTED_VALUE"""),"")</f>
        <v/>
      </c>
    </row>
    <row r="32" ht="37.5" customHeight="1">
      <c r="A32" s="8" t="str">
        <f>IFERROR(__xludf.DUMMYFUNCTION("""COMPUTED_VALUE"""),"192_telepathy for dummies.anm2")</f>
        <v>192_telepathy for dummies.anm2</v>
      </c>
      <c r="B32" s="8">
        <f>IFERROR(__xludf.DUMMYFUNCTION("""COMPUTED_VALUE"""),192.0)</f>
        <v>192</v>
      </c>
      <c r="C32" s="8" t="str">
        <f>IFERROR(__xludf.DUMMYFUNCTION("""COMPUTED_VALUE"""),"active")</f>
        <v>active</v>
      </c>
      <c r="D32" s="8">
        <f>IFERROR(__xludf.DUMMYFUNCTION("""COMPUTED_VALUE"""),0.0)</f>
        <v>0</v>
      </c>
      <c r="E32" s="8" t="str">
        <f>IFERROR(__xludf.DUMMYFUNCTION("""COMPUTED_VALUE"""),"head1")</f>
        <v>head1</v>
      </c>
      <c r="F32" s="8" t="str">
        <f>IFERROR(__xludf.DUMMYFUNCTION("""COMPUTED_VALUE"""),"")</f>
        <v/>
      </c>
    </row>
    <row r="33" ht="37.5" customHeight="1">
      <c r="A33" s="8" t="str">
        <f>IFERROR(__xludf.DUMMYFUNCTION("""COMPUTED_VALUE"""),"193_meat.anm2")</f>
        <v>193_meat.anm2</v>
      </c>
      <c r="B33" s="8">
        <f>IFERROR(__xludf.DUMMYFUNCTION("""COMPUTED_VALUE"""),193.0)</f>
        <v>193</v>
      </c>
      <c r="C33" s="8" t="str">
        <f>IFERROR(__xludf.DUMMYFUNCTION("""COMPUTED_VALUE"""),"passive")</f>
        <v>passive</v>
      </c>
      <c r="D33" s="8">
        <f>IFERROR(__xludf.DUMMYFUNCTION("""COMPUTED_VALUE"""),0.0)</f>
        <v>0</v>
      </c>
      <c r="E33" s="8" t="str">
        <f>IFERROR(__xludf.DUMMYFUNCTION("""COMPUTED_VALUE"""),"head1")</f>
        <v>head1</v>
      </c>
      <c r="F33" s="8" t="str">
        <f>IFERROR(__xludf.DUMMYFUNCTION("""COMPUTED_VALUE"""),"")</f>
        <v/>
      </c>
    </row>
    <row r="34" ht="37.5" customHeight="1">
      <c r="A34" s="8" t="str">
        <f>IFERROR(__xludf.DUMMYFUNCTION("""COMPUTED_VALUE"""),"196_squeezy.anm2")</f>
        <v>196_squeezy.anm2</v>
      </c>
      <c r="B34" s="8">
        <f>IFERROR(__xludf.DUMMYFUNCTION("""COMPUTED_VALUE"""),196.0)</f>
        <v>196</v>
      </c>
      <c r="C34" s="8" t="str">
        <f>IFERROR(__xludf.DUMMYFUNCTION("""COMPUTED_VALUE"""),"passive")</f>
        <v>passive</v>
      </c>
      <c r="D34" s="8">
        <f>IFERROR(__xludf.DUMMYFUNCTION("""COMPUTED_VALUE"""),0.0)</f>
        <v>0</v>
      </c>
      <c r="E34" s="8" t="str">
        <f>IFERROR(__xludf.DUMMYFUNCTION("""COMPUTED_VALUE"""),"head1")</f>
        <v>head1</v>
      </c>
      <c r="F34" s="8" t="str">
        <f>IFERROR(__xludf.DUMMYFUNCTION("""COMPUTED_VALUE"""),"")</f>
        <v/>
      </c>
    </row>
    <row r="35" ht="37.5" customHeight="1">
      <c r="A35" s="8" t="str">
        <f>IFERROR(__xludf.DUMMYFUNCTION("""COMPUTED_VALUE"""),"197_jesus juice.anm2")</f>
        <v>197_jesus juice.anm2</v>
      </c>
      <c r="B35" s="8">
        <f>IFERROR(__xludf.DUMMYFUNCTION("""COMPUTED_VALUE"""),197.0)</f>
        <v>197</v>
      </c>
      <c r="C35" s="8" t="str">
        <f>IFERROR(__xludf.DUMMYFUNCTION("""COMPUTED_VALUE"""),"passive")</f>
        <v>passive</v>
      </c>
      <c r="D35" s="8">
        <f>IFERROR(__xludf.DUMMYFUNCTION("""COMPUTED_VALUE"""),0.0)</f>
        <v>0</v>
      </c>
      <c r="E35" s="8" t="str">
        <f>IFERROR(__xludf.DUMMYFUNCTION("""COMPUTED_VALUE"""),"head1")</f>
        <v>head1</v>
      </c>
      <c r="F35" s="8" t="str">
        <f>IFERROR(__xludf.DUMMYFUNCTION("""COMPUTED_VALUE"""),"")</f>
        <v/>
      </c>
    </row>
    <row r="36" ht="37.5" customHeight="1">
      <c r="A36" s="8" t="str">
        <f>IFERROR(__xludf.DUMMYFUNCTION("""COMPUTED_VALUE"""),"200_momseyeshadow.anm2")</f>
        <v>200_momseyeshadow.anm2</v>
      </c>
      <c r="B36" s="8">
        <f>IFERROR(__xludf.DUMMYFUNCTION("""COMPUTED_VALUE"""),200.0)</f>
        <v>200</v>
      </c>
      <c r="C36" s="8" t="str">
        <f>IFERROR(__xludf.DUMMYFUNCTION("""COMPUTED_VALUE"""),"passive")</f>
        <v>passive</v>
      </c>
      <c r="D36" s="8">
        <f>IFERROR(__xludf.DUMMYFUNCTION("""COMPUTED_VALUE"""),0.0)</f>
        <v>0</v>
      </c>
      <c r="E36" s="8" t="str">
        <f>IFERROR(__xludf.DUMMYFUNCTION("""COMPUTED_VALUE"""),"head1")</f>
        <v>head1</v>
      </c>
      <c r="F36" s="8" t="str">
        <f>IFERROR(__xludf.DUMMYFUNCTION("""COMPUTED_VALUE"""),"")</f>
        <v/>
      </c>
    </row>
    <row r="37" ht="37.5" customHeight="1">
      <c r="A37" s="8" t="str">
        <f>IFERROR(__xludf.DUMMYFUNCTION("""COMPUTED_VALUE"""),"218_placenta.anm2")</f>
        <v>218_placenta.anm2</v>
      </c>
      <c r="B37" s="8">
        <f>IFERROR(__xludf.DUMMYFUNCTION("""COMPUTED_VALUE"""),218.0)</f>
        <v>218</v>
      </c>
      <c r="C37" s="8" t="str">
        <f>IFERROR(__xludf.DUMMYFUNCTION("""COMPUTED_VALUE"""),"passive")</f>
        <v>passive</v>
      </c>
      <c r="D37" s="8">
        <f>IFERROR(__xludf.DUMMYFUNCTION("""COMPUTED_VALUE"""),0.0)</f>
        <v>0</v>
      </c>
      <c r="E37" s="8" t="str">
        <f>IFERROR(__xludf.DUMMYFUNCTION("""COMPUTED_VALUE"""),"head1")</f>
        <v>head1</v>
      </c>
      <c r="F37" s="8" t="str">
        <f>IFERROR(__xludf.DUMMYFUNCTION("""COMPUTED_VALUE"""),"")</f>
        <v/>
      </c>
    </row>
    <row r="38" ht="37.5" customHeight="1">
      <c r="A38" s="8" t="str">
        <f>IFERROR(__xludf.DUMMYFUNCTION("""COMPUTED_VALUE"""),"224_crickets body.anm2")</f>
        <v>224_crickets body.anm2</v>
      </c>
      <c r="B38" s="8">
        <f>IFERROR(__xludf.DUMMYFUNCTION("""COMPUTED_VALUE"""),224.0)</f>
        <v>224</v>
      </c>
      <c r="C38" s="8" t="str">
        <f>IFERROR(__xludf.DUMMYFUNCTION("""COMPUTED_VALUE"""),"passive")</f>
        <v>passive</v>
      </c>
      <c r="D38" s="8">
        <f>IFERROR(__xludf.DUMMYFUNCTION("""COMPUTED_VALUE"""),0.0)</f>
        <v>0</v>
      </c>
      <c r="E38" s="8" t="str">
        <f>IFERROR(__xludf.DUMMYFUNCTION("""COMPUTED_VALUE"""),"head1")</f>
        <v>head1</v>
      </c>
      <c r="F38" s="8" t="str">
        <f>IFERROR(__xludf.DUMMYFUNCTION("""COMPUTED_VALUE"""),"")</f>
        <v/>
      </c>
    </row>
    <row r="39" ht="37.5" customHeight="1">
      <c r="A39" s="8" t="str">
        <f>IFERROR(__xludf.DUMMYFUNCTION("""COMPUTED_VALUE"""),"236_ecoli.anm2")</f>
        <v>236_ecoli.anm2</v>
      </c>
      <c r="B39" s="8">
        <f>IFERROR(__xludf.DUMMYFUNCTION("""COMPUTED_VALUE"""),236.0)</f>
        <v>236</v>
      </c>
      <c r="C39" s="8" t="str">
        <f>IFERROR(__xludf.DUMMYFUNCTION("""COMPUTED_VALUE"""),"passive")</f>
        <v>passive</v>
      </c>
      <c r="D39" s="8">
        <f>IFERROR(__xludf.DUMMYFUNCTION("""COMPUTED_VALUE"""),0.0)</f>
        <v>0</v>
      </c>
      <c r="E39" s="8" t="str">
        <f>IFERROR(__xludf.DUMMYFUNCTION("""COMPUTED_VALUE"""),"head1")</f>
        <v>head1</v>
      </c>
      <c r="F39" s="8" t="str">
        <f>IFERROR(__xludf.DUMMYFUNCTION("""COMPUTED_VALUE"""),"")</f>
        <v/>
      </c>
    </row>
    <row r="40" ht="37.5" customHeight="1">
      <c r="A40" s="8" t="str">
        <f>IFERROR(__xludf.DUMMYFUNCTION("""COMPUTED_VALUE"""),"244_tech05.anm2")</f>
        <v>244_tech05.anm2</v>
      </c>
      <c r="B40" s="8">
        <f>IFERROR(__xludf.DUMMYFUNCTION("""COMPUTED_VALUE"""),244.0)</f>
        <v>244</v>
      </c>
      <c r="C40" s="8" t="str">
        <f>IFERROR(__xludf.DUMMYFUNCTION("""COMPUTED_VALUE"""),"passive")</f>
        <v>passive</v>
      </c>
      <c r="D40" s="8">
        <f>IFERROR(__xludf.DUMMYFUNCTION("""COMPUTED_VALUE"""),0.0)</f>
        <v>0</v>
      </c>
      <c r="E40" s="8" t="str">
        <f>IFERROR(__xludf.DUMMYFUNCTION("""COMPUTED_VALUE"""),"head1")</f>
        <v>head1</v>
      </c>
      <c r="F40" s="8" t="str">
        <f>IFERROR(__xludf.DUMMYFUNCTION("""COMPUTED_VALUE"""),"")</f>
        <v/>
      </c>
    </row>
    <row r="41" ht="37.5" customHeight="1">
      <c r="A41" s="8" t="str">
        <f>IFERROR(__xludf.DUMMYFUNCTION("""COMPUTED_VALUE"""),"247_bffs.anm2")</f>
        <v>247_bffs.anm2</v>
      </c>
      <c r="B41" s="8">
        <f>IFERROR(__xludf.DUMMYFUNCTION("""COMPUTED_VALUE"""),247.0)</f>
        <v>247</v>
      </c>
      <c r="C41" s="8" t="str">
        <f>IFERROR(__xludf.DUMMYFUNCTION("""COMPUTED_VALUE"""),"passive")</f>
        <v>passive</v>
      </c>
      <c r="D41" s="8">
        <f>IFERROR(__xludf.DUMMYFUNCTION("""COMPUTED_VALUE"""),0.0)</f>
        <v>0</v>
      </c>
      <c r="E41" s="8" t="str">
        <f>IFERROR(__xludf.DUMMYFUNCTION("""COMPUTED_VALUE"""),"head1")</f>
        <v>head1</v>
      </c>
      <c r="F41" s="8" t="str">
        <f>IFERROR(__xludf.DUMMYFUNCTION("""COMPUTED_VALUE"""),"")</f>
        <v/>
      </c>
    </row>
    <row r="42" ht="37.5" customHeight="1">
      <c r="A42" s="8" t="str">
        <f>IFERROR(__xludf.DUMMYFUNCTION("""COMPUTED_VALUE"""),"249_theresoptions.anm2")</f>
        <v>249_theresoptions.anm2</v>
      </c>
      <c r="B42" s="8">
        <f>IFERROR(__xludf.DUMMYFUNCTION("""COMPUTED_VALUE"""),249.0)</f>
        <v>249</v>
      </c>
      <c r="C42" s="8" t="str">
        <f>IFERROR(__xludf.DUMMYFUNCTION("""COMPUTED_VALUE"""),"passive")</f>
        <v>passive</v>
      </c>
      <c r="D42" s="8">
        <f>IFERROR(__xludf.DUMMYFUNCTION("""COMPUTED_VALUE"""),0.0)</f>
        <v>0</v>
      </c>
      <c r="E42" s="8" t="str">
        <f>IFERROR(__xludf.DUMMYFUNCTION("""COMPUTED_VALUE"""),"head1")</f>
        <v>head1</v>
      </c>
      <c r="F42" s="8" t="str">
        <f>IFERROR(__xludf.DUMMYFUNCTION("""COMPUTED_VALUE"""),"")</f>
        <v/>
      </c>
    </row>
    <row r="43" ht="37.5" customHeight="1">
      <c r="A43" s="8" t="str">
        <f>IFERROR(__xludf.DUMMYFUNCTION("""COMPUTED_VALUE"""),"251_starterdeck.anm2")</f>
        <v>251_starterdeck.anm2</v>
      </c>
      <c r="B43" s="8">
        <f>IFERROR(__xludf.DUMMYFUNCTION("""COMPUTED_VALUE"""),251.0)</f>
        <v>251</v>
      </c>
      <c r="C43" s="8" t="str">
        <f>IFERROR(__xludf.DUMMYFUNCTION("""COMPUTED_VALUE"""),"passive")</f>
        <v>passive</v>
      </c>
      <c r="D43" s="8">
        <f>IFERROR(__xludf.DUMMYFUNCTION("""COMPUTED_VALUE"""),0.0)</f>
        <v>0</v>
      </c>
      <c r="E43" s="8" t="str">
        <f>IFERROR(__xludf.DUMMYFUNCTION("""COMPUTED_VALUE"""),"head1")</f>
        <v>head1</v>
      </c>
      <c r="F43" s="8" t="str">
        <f>IFERROR(__xludf.DUMMYFUNCTION("""COMPUTED_VALUE"""),"")</f>
        <v/>
      </c>
    </row>
    <row r="44" ht="37.5" customHeight="1">
      <c r="A44" s="8" t="str">
        <f>IFERROR(__xludf.DUMMYFUNCTION("""COMPUTED_VALUE"""),"309_pisces.anm2")</f>
        <v>309_pisces.anm2</v>
      </c>
      <c r="B44" s="8">
        <f>IFERROR(__xludf.DUMMYFUNCTION("""COMPUTED_VALUE"""),309.0)</f>
        <v>309</v>
      </c>
      <c r="C44" s="8" t="str">
        <f>IFERROR(__xludf.DUMMYFUNCTION("""COMPUTED_VALUE"""),"passive")</f>
        <v>passive</v>
      </c>
      <c r="D44" s="8">
        <f>IFERROR(__xludf.DUMMYFUNCTION("""COMPUTED_VALUE"""),0.0)</f>
        <v>0</v>
      </c>
      <c r="E44" s="8" t="str">
        <f>IFERROR(__xludf.DUMMYFUNCTION("""COMPUTED_VALUE"""),"head1")</f>
        <v>head1</v>
      </c>
      <c r="F44" s="8" t="str">
        <f>IFERROR(__xludf.DUMMYFUNCTION("""COMPUTED_VALUE"""),"")</f>
        <v/>
      </c>
    </row>
    <row r="45" ht="37.5" customHeight="1">
      <c r="A45" s="8" t="str">
        <f>IFERROR(__xludf.DUMMYFUNCTION("""COMPUTED_VALUE"""),"330_soymilk.anm2")</f>
        <v>330_soymilk.anm2</v>
      </c>
      <c r="B45" s="8">
        <f>IFERROR(__xludf.DUMMYFUNCTION("""COMPUTED_VALUE"""),330.0)</f>
        <v>330</v>
      </c>
      <c r="C45" s="8" t="str">
        <f>IFERROR(__xludf.DUMMYFUNCTION("""COMPUTED_VALUE"""),"passive")</f>
        <v>passive</v>
      </c>
      <c r="D45" s="8">
        <f>IFERROR(__xludf.DUMMYFUNCTION("""COMPUTED_VALUE"""),0.0)</f>
        <v>0</v>
      </c>
      <c r="E45" s="8" t="str">
        <f>IFERROR(__xludf.DUMMYFUNCTION("""COMPUTED_VALUE"""),"head1")</f>
        <v>head1</v>
      </c>
      <c r="F45" s="8" t="str">
        <f>IFERROR(__xludf.DUMMYFUNCTION("""COMPUTED_VALUE"""),"")</f>
        <v/>
      </c>
    </row>
    <row r="46" ht="37.5" customHeight="1">
      <c r="A46" s="8" t="str">
        <f>IFERROR(__xludf.DUMMYFUNCTION("""COMPUTED_VALUE"""),"341_torn photo.anm2")</f>
        <v>341_torn photo.anm2</v>
      </c>
      <c r="B46" s="8">
        <f>IFERROR(__xludf.DUMMYFUNCTION("""COMPUTED_VALUE"""),341.0)</f>
        <v>341</v>
      </c>
      <c r="C46" s="8" t="str">
        <f>IFERROR(__xludf.DUMMYFUNCTION("""COMPUTED_VALUE"""),"passive")</f>
        <v>passive</v>
      </c>
      <c r="D46" s="8">
        <f>IFERROR(__xludf.DUMMYFUNCTION("""COMPUTED_VALUE"""),0.0)</f>
        <v>0</v>
      </c>
      <c r="E46" s="8" t="str">
        <f>IFERROR(__xludf.DUMMYFUNCTION("""COMPUTED_VALUE"""),"head1")</f>
        <v>head1</v>
      </c>
      <c r="F46" s="8" t="str">
        <f>IFERROR(__xludf.DUMMYFUNCTION("""COMPUTED_VALUE"""),"")</f>
        <v/>
      </c>
    </row>
    <row r="47" ht="37.5" customHeight="1">
      <c r="A47" s="8" t="str">
        <f>IFERROR(__xludf.DUMMYFUNCTION("""COMPUTED_VALUE"""),"359_8inchnail.anm2")</f>
        <v>359_8inchnail.anm2</v>
      </c>
      <c r="B47" s="8">
        <f>IFERROR(__xludf.DUMMYFUNCTION("""COMPUTED_VALUE"""),359.0)</f>
        <v>359</v>
      </c>
      <c r="C47" s="8" t="str">
        <f>IFERROR(__xludf.DUMMYFUNCTION("""COMPUTED_VALUE"""),"passive")</f>
        <v>passive</v>
      </c>
      <c r="D47" s="8">
        <f>IFERROR(__xludf.DUMMYFUNCTION("""COMPUTED_VALUE"""),0.0)</f>
        <v>0</v>
      </c>
      <c r="E47" s="8" t="str">
        <f>IFERROR(__xludf.DUMMYFUNCTION("""COMPUTED_VALUE"""),"head1")</f>
        <v>head1</v>
      </c>
      <c r="F47" s="8" t="str">
        <f>IFERROR(__xludf.DUMMYFUNCTION("""COMPUTED_VALUE"""),"")</f>
        <v/>
      </c>
    </row>
    <row r="48" ht="37.5" customHeight="1">
      <c r="A48" s="8" t="str">
        <f>IFERROR(__xludf.DUMMYFUNCTION("""COMPUTED_VALUE"""),"366_scatterbombs.anm2")</f>
        <v>366_scatterbombs.anm2</v>
      </c>
      <c r="B48" s="8">
        <f>IFERROR(__xludf.DUMMYFUNCTION("""COMPUTED_VALUE"""),366.0)</f>
        <v>366</v>
      </c>
      <c r="C48" s="8" t="str">
        <f>IFERROR(__xludf.DUMMYFUNCTION("""COMPUTED_VALUE"""),"passive")</f>
        <v>passive</v>
      </c>
      <c r="D48" s="8">
        <f>IFERROR(__xludf.DUMMYFUNCTION("""COMPUTED_VALUE"""),0.0)</f>
        <v>0</v>
      </c>
      <c r="E48" s="8" t="str">
        <f>IFERROR(__xludf.DUMMYFUNCTION("""COMPUTED_VALUE"""),"head1")</f>
        <v>head1</v>
      </c>
      <c r="F48" s="8" t="str">
        <f>IFERROR(__xludf.DUMMYFUNCTION("""COMPUTED_VALUE"""),"")</f>
        <v/>
      </c>
    </row>
    <row r="49" ht="37.5" customHeight="1">
      <c r="A49" s="8" t="str">
        <f>IFERROR(__xludf.DUMMYFUNCTION("""COMPUTED_VALUE"""),"371_curseofthetower.anm2")</f>
        <v>371_curseofthetower.anm2</v>
      </c>
      <c r="B49" s="8">
        <f>IFERROR(__xludf.DUMMYFUNCTION("""COMPUTED_VALUE"""),371.0)</f>
        <v>371</v>
      </c>
      <c r="C49" s="8" t="str">
        <f>IFERROR(__xludf.DUMMYFUNCTION("""COMPUTED_VALUE"""),"passive")</f>
        <v>passive</v>
      </c>
      <c r="D49" s="8">
        <f>IFERROR(__xludf.DUMMYFUNCTION("""COMPUTED_VALUE"""),0.0)</f>
        <v>0</v>
      </c>
      <c r="E49" s="8" t="str">
        <f>IFERROR(__xludf.DUMMYFUNCTION("""COMPUTED_VALUE"""),"head1")</f>
        <v>head1</v>
      </c>
      <c r="F49" s="8" t="str">
        <f>IFERROR(__xludf.DUMMYFUNCTION("""COMPUTED_VALUE"""),"")</f>
        <v/>
      </c>
    </row>
    <row r="50" ht="37.5" customHeight="1">
      <c r="A50" s="8" t="str">
        <f>IFERROR(__xludf.DUMMYFUNCTION("""COMPUTED_VALUE"""),"379_pupuladuplex.anm2")</f>
        <v>379_pupuladuplex.anm2</v>
      </c>
      <c r="B50" s="8">
        <f>IFERROR(__xludf.DUMMYFUNCTION("""COMPUTED_VALUE"""),379.0)</f>
        <v>379</v>
      </c>
      <c r="C50" s="8" t="str">
        <f>IFERROR(__xludf.DUMMYFUNCTION("""COMPUTED_VALUE"""),"passive")</f>
        <v>passive</v>
      </c>
      <c r="D50" s="8">
        <f>IFERROR(__xludf.DUMMYFUNCTION("""COMPUTED_VALUE"""),0.0)</f>
        <v>0</v>
      </c>
      <c r="E50" s="8" t="str">
        <f>IFERROR(__xludf.DUMMYFUNCTION("""COMPUTED_VALUE"""),"head1")</f>
        <v>head1</v>
      </c>
      <c r="F50" s="8" t="str">
        <f>IFERROR(__xludf.DUMMYFUNCTION("""COMPUTED_VALUE"""),"")</f>
        <v/>
      </c>
    </row>
    <row r="51" ht="37.5" customHeight="1">
      <c r="A51" s="8" t="str">
        <f>IFERROR(__xludf.DUMMYFUNCTION("""COMPUTED_VALUE"""),"392_zodiac.anm2")</f>
        <v>392_zodiac.anm2</v>
      </c>
      <c r="B51" s="8">
        <f>IFERROR(__xludf.DUMMYFUNCTION("""COMPUTED_VALUE"""),392.0)</f>
        <v>392</v>
      </c>
      <c r="C51" s="8" t="str">
        <f>IFERROR(__xludf.DUMMYFUNCTION("""COMPUTED_VALUE"""),"passive")</f>
        <v>passive</v>
      </c>
      <c r="D51" s="8">
        <f>IFERROR(__xludf.DUMMYFUNCTION("""COMPUTED_VALUE"""),0.0)</f>
        <v>0</v>
      </c>
      <c r="E51" s="8" t="str">
        <f>IFERROR(__xludf.DUMMYFUNCTION("""COMPUTED_VALUE"""),"head1")</f>
        <v>head1</v>
      </c>
      <c r="F51" s="8" t="str">
        <f>IFERROR(__xludf.DUMMYFUNCTION("""COMPUTED_VALUE"""),"")</f>
        <v/>
      </c>
    </row>
    <row r="52" ht="37.5" customHeight="1">
      <c r="A52" s="8" t="str">
        <f>IFERROR(__xludf.DUMMYFUNCTION("""COMPUTED_VALUE"""),"393_serpentskiss.anm2")</f>
        <v>393_serpentskiss.anm2</v>
      </c>
      <c r="B52" s="8">
        <f>IFERROR(__xludf.DUMMYFUNCTION("""COMPUTED_VALUE"""),393.0)</f>
        <v>393</v>
      </c>
      <c r="C52" s="8" t="str">
        <f>IFERROR(__xludf.DUMMYFUNCTION("""COMPUTED_VALUE"""),"passive")</f>
        <v>passive</v>
      </c>
      <c r="D52" s="8">
        <f>IFERROR(__xludf.DUMMYFUNCTION("""COMPUTED_VALUE"""),0.0)</f>
        <v>0</v>
      </c>
      <c r="E52" s="8" t="str">
        <f>IFERROR(__xludf.DUMMYFUNCTION("""COMPUTED_VALUE"""),"head1")</f>
        <v>head1</v>
      </c>
      <c r="F52" s="8" t="str">
        <f>IFERROR(__xludf.DUMMYFUNCTION("""COMPUTED_VALUE"""),"")</f>
        <v/>
      </c>
    </row>
    <row r="53" ht="37.5" customHeight="1">
      <c r="A53" s="8" t="str">
        <f>IFERROR(__xludf.DUMMYFUNCTION("""COMPUTED_VALUE"""),"394_marked.anm2")</f>
        <v>394_marked.anm2</v>
      </c>
      <c r="B53" s="8">
        <f>IFERROR(__xludf.DUMMYFUNCTION("""COMPUTED_VALUE"""),394.0)</f>
        <v>394</v>
      </c>
      <c r="C53" s="8" t="str">
        <f>IFERROR(__xludf.DUMMYFUNCTION("""COMPUTED_VALUE"""),"passive")</f>
        <v>passive</v>
      </c>
      <c r="D53" s="8">
        <f>IFERROR(__xludf.DUMMYFUNCTION("""COMPUTED_VALUE"""),0.0)</f>
        <v>0</v>
      </c>
      <c r="E53" s="8" t="str">
        <f>IFERROR(__xludf.DUMMYFUNCTION("""COMPUTED_VALUE"""),"head1")</f>
        <v>head1</v>
      </c>
      <c r="F53" s="8" t="str">
        <f>IFERROR(__xludf.DUMMYFUNCTION("""COMPUTED_VALUE"""),"")</f>
        <v/>
      </c>
    </row>
    <row r="54" ht="37.5" customHeight="1">
      <c r="A54" s="8" t="str">
        <f>IFERROR(__xludf.DUMMYFUNCTION("""COMPUTED_VALUE"""),"410_evileye.anm2")</f>
        <v>410_evileye.anm2</v>
      </c>
      <c r="B54" s="8">
        <f>IFERROR(__xludf.DUMMYFUNCTION("""COMPUTED_VALUE"""),410.0)</f>
        <v>410</v>
      </c>
      <c r="C54" s="8" t="str">
        <f>IFERROR(__xludf.DUMMYFUNCTION("""COMPUTED_VALUE"""),"passive")</f>
        <v>passive</v>
      </c>
      <c r="D54" s="8">
        <f>IFERROR(__xludf.DUMMYFUNCTION("""COMPUTED_VALUE"""),0.0)</f>
        <v>0</v>
      </c>
      <c r="E54" s="8" t="str">
        <f>IFERROR(__xludf.DUMMYFUNCTION("""COMPUTED_VALUE"""),"head1")</f>
        <v>head1</v>
      </c>
      <c r="F54" s="8" t="str">
        <f>IFERROR(__xludf.DUMMYFUNCTION("""COMPUTED_VALUE"""),"")</f>
        <v/>
      </c>
    </row>
    <row r="55" ht="37.5" customHeight="1">
      <c r="A55" s="8" t="str">
        <f>IFERROR(__xludf.DUMMYFUNCTION("""COMPUTED_VALUE"""),"414_moreoptions.anm2")</f>
        <v>414_moreoptions.anm2</v>
      </c>
      <c r="B55" s="8">
        <f>IFERROR(__xludf.DUMMYFUNCTION("""COMPUTED_VALUE"""),414.0)</f>
        <v>414</v>
      </c>
      <c r="C55" s="8" t="str">
        <f>IFERROR(__xludf.DUMMYFUNCTION("""COMPUTED_VALUE"""),"passive")</f>
        <v>passive</v>
      </c>
      <c r="D55" s="8">
        <f>IFERROR(__xludf.DUMMYFUNCTION("""COMPUTED_VALUE"""),0.0)</f>
        <v>0</v>
      </c>
      <c r="E55" s="8" t="str">
        <f>IFERROR(__xludf.DUMMYFUNCTION("""COMPUTED_VALUE"""),"head1")</f>
        <v>head1</v>
      </c>
      <c r="F55" s="8" t="str">
        <f>IFERROR(__xludf.DUMMYFUNCTION("""COMPUTED_VALUE"""),"")</f>
        <v/>
      </c>
      <c r="K55" s="9" t="s">
        <v>519</v>
      </c>
    </row>
    <row r="56" ht="37.5" customHeight="1">
      <c r="A56" s="8" t="str">
        <f>IFERROR(__xludf.DUMMYFUNCTION("""COMPUTED_VALUE"""),"443_apple.anm2")</f>
        <v>443_apple.anm2</v>
      </c>
      <c r="B56" s="8">
        <f>IFERROR(__xludf.DUMMYFUNCTION("""COMPUTED_VALUE"""),443.0)</f>
        <v>443</v>
      </c>
      <c r="C56" s="8" t="str">
        <f>IFERROR(__xludf.DUMMYFUNCTION("""COMPUTED_VALUE"""),"passive")</f>
        <v>passive</v>
      </c>
      <c r="D56" s="8">
        <f>IFERROR(__xludf.DUMMYFUNCTION("""COMPUTED_VALUE"""),0.0)</f>
        <v>0</v>
      </c>
      <c r="E56" s="8" t="str">
        <f>IFERROR(__xludf.DUMMYFUNCTION("""COMPUTED_VALUE"""),"head1")</f>
        <v>head1</v>
      </c>
      <c r="F56" s="8" t="str">
        <f>IFERROR(__xludf.DUMMYFUNCTION("""COMPUTED_VALUE"""),"")</f>
        <v/>
      </c>
    </row>
    <row r="57" ht="37.5" customHeight="1">
      <c r="A57" s="8" t="str">
        <f>IFERROR(__xludf.DUMMYFUNCTION("""COMPUTED_VALUE"""),"445_dogtooth.anm2")</f>
        <v>445_dogtooth.anm2</v>
      </c>
      <c r="B57" s="8">
        <f>IFERROR(__xludf.DUMMYFUNCTION("""COMPUTED_VALUE"""),445.0)</f>
        <v>445</v>
      </c>
      <c r="C57" s="8" t="str">
        <f>IFERROR(__xludf.DUMMYFUNCTION("""COMPUTED_VALUE"""),"passive")</f>
        <v>passive</v>
      </c>
      <c r="D57" s="8">
        <f>IFERROR(__xludf.DUMMYFUNCTION("""COMPUTED_VALUE"""),0.0)</f>
        <v>0</v>
      </c>
      <c r="E57" s="8" t="str">
        <f>IFERROR(__xludf.DUMMYFUNCTION("""COMPUTED_VALUE"""),"head1")</f>
        <v>head1</v>
      </c>
      <c r="F57" s="8" t="str">
        <f>IFERROR(__xludf.DUMMYFUNCTION("""COMPUTED_VALUE"""),"")</f>
        <v/>
      </c>
    </row>
    <row r="58" ht="37.5" customHeight="1">
      <c r="A58" s="8" t="str">
        <f>IFERROR(__xludf.DUMMYFUNCTION("""COMPUTED_VALUE"""),"446_deadtooth.anm2")</f>
        <v>446_deadtooth.anm2</v>
      </c>
      <c r="B58" s="8">
        <f>IFERROR(__xludf.DUMMYFUNCTION("""COMPUTED_VALUE"""),446.0)</f>
        <v>446</v>
      </c>
      <c r="C58" s="8" t="str">
        <f>IFERROR(__xludf.DUMMYFUNCTION("""COMPUTED_VALUE"""),"passive")</f>
        <v>passive</v>
      </c>
      <c r="D58" s="8">
        <f>IFERROR(__xludf.DUMMYFUNCTION("""COMPUTED_VALUE"""),0.0)</f>
        <v>0</v>
      </c>
      <c r="E58" s="8" t="str">
        <f>IFERROR(__xludf.DUMMYFUNCTION("""COMPUTED_VALUE"""),"head1")</f>
        <v>head1</v>
      </c>
      <c r="F58" s="8" t="str">
        <f>IFERROR(__xludf.DUMMYFUNCTION("""COMPUTED_VALUE"""),"")</f>
        <v/>
      </c>
    </row>
    <row r="59" ht="37.5" customHeight="1">
      <c r="A59" s="8" t="str">
        <f>IFERROR(__xludf.DUMMYFUNCTION("""COMPUTED_VALUE"""),"452_varicoseveins.anm2")</f>
        <v>452_varicoseveins.anm2</v>
      </c>
      <c r="B59" s="8">
        <f>IFERROR(__xludf.DUMMYFUNCTION("""COMPUTED_VALUE"""),452.0)</f>
        <v>452</v>
      </c>
      <c r="C59" s="8" t="str">
        <f>IFERROR(__xludf.DUMMYFUNCTION("""COMPUTED_VALUE"""),"passive")</f>
        <v>passive</v>
      </c>
      <c r="D59" s="8">
        <f>IFERROR(__xludf.DUMMYFUNCTION("""COMPUTED_VALUE"""),0.0)</f>
        <v>0</v>
      </c>
      <c r="E59" s="8" t="str">
        <f>IFERROR(__xludf.DUMMYFUNCTION("""COMPUTED_VALUE"""),"head1")</f>
        <v>head1</v>
      </c>
      <c r="F59" s="8" t="str">
        <f>IFERROR(__xludf.DUMMYFUNCTION("""COMPUTED_VALUE"""),"")</f>
        <v/>
      </c>
    </row>
    <row r="60" ht="37.5" customHeight="1">
      <c r="A60" s="8" t="str">
        <f>IFERROR(__xludf.DUMMYFUNCTION("""COMPUTED_VALUE"""),"459_sinusinfection.anm2")</f>
        <v>459_sinusinfection.anm2</v>
      </c>
      <c r="B60" s="8">
        <f>IFERROR(__xludf.DUMMYFUNCTION("""COMPUTED_VALUE"""),459.0)</f>
        <v>459</v>
      </c>
      <c r="C60" s="8" t="str">
        <f>IFERROR(__xludf.DUMMYFUNCTION("""COMPUTED_VALUE"""),"passive")</f>
        <v>passive</v>
      </c>
      <c r="D60" s="8">
        <f>IFERROR(__xludf.DUMMYFUNCTION("""COMPUTED_VALUE"""),0.0)</f>
        <v>0</v>
      </c>
      <c r="E60" s="8" t="str">
        <f>IFERROR(__xludf.DUMMYFUNCTION("""COMPUTED_VALUE"""),"head1")</f>
        <v>head1</v>
      </c>
      <c r="F60" s="8" t="str">
        <f>IFERROR(__xludf.DUMMYFUNCTION("""COMPUTED_VALUE"""),"")</f>
        <v/>
      </c>
    </row>
    <row r="61" ht="37.5" customHeight="1">
      <c r="A61" s="8" t="str">
        <f>IFERROR(__xludf.DUMMYFUNCTION("""COMPUTED_VALUE"""),"462_eyeofbelial.anm2")</f>
        <v>462_eyeofbelial.anm2</v>
      </c>
      <c r="B61" s="8">
        <f>IFERROR(__xludf.DUMMYFUNCTION("""COMPUTED_VALUE"""),462.0)</f>
        <v>462</v>
      </c>
      <c r="C61" s="8" t="str">
        <f>IFERROR(__xludf.DUMMYFUNCTION("""COMPUTED_VALUE"""),"passive")</f>
        <v>passive</v>
      </c>
      <c r="D61" s="8">
        <f>IFERROR(__xludf.DUMMYFUNCTION("""COMPUTED_VALUE"""),0.0)</f>
        <v>0</v>
      </c>
      <c r="E61" s="8" t="str">
        <f>IFERROR(__xludf.DUMMYFUNCTION("""COMPUTED_VALUE"""),"head1")</f>
        <v>head1</v>
      </c>
      <c r="F61" s="8" t="str">
        <f>IFERROR(__xludf.DUMMYFUNCTION("""COMPUTED_VALUE"""),"")</f>
        <v/>
      </c>
    </row>
    <row r="62" ht="37.5" customHeight="1">
      <c r="A62" s="8" t="str">
        <f>IFERROR(__xludf.DUMMYFUNCTION("""COMPUTED_VALUE"""),"463_sulphuricacid.anm2")</f>
        <v>463_sulphuricacid.anm2</v>
      </c>
      <c r="B62" s="8">
        <f>IFERROR(__xludf.DUMMYFUNCTION("""COMPUTED_VALUE"""),463.0)</f>
        <v>463</v>
      </c>
      <c r="C62" s="8" t="str">
        <f>IFERROR(__xludf.DUMMYFUNCTION("""COMPUTED_VALUE"""),"passive")</f>
        <v>passive</v>
      </c>
      <c r="D62" s="8">
        <f>IFERROR(__xludf.DUMMYFUNCTION("""COMPUTED_VALUE"""),0.0)</f>
        <v>0</v>
      </c>
      <c r="E62" s="8" t="str">
        <f>IFERROR(__xludf.DUMMYFUNCTION("""COMPUTED_VALUE"""),"head1")</f>
        <v>head1</v>
      </c>
      <c r="F62" s="8" t="str">
        <f>IFERROR(__xludf.DUMMYFUNCTION("""COMPUTED_VALUE"""),"")</f>
        <v/>
      </c>
    </row>
    <row r="63" ht="37.5" customHeight="1">
      <c r="A63" s="8" t="str">
        <f>IFERROR(__xludf.DUMMYFUNCTION("""COMPUTED_VALUE"""),"495_ghostpepper.anm2")</f>
        <v>495_ghostpepper.anm2</v>
      </c>
      <c r="B63" s="8">
        <f>IFERROR(__xludf.DUMMYFUNCTION("""COMPUTED_VALUE"""),495.0)</f>
        <v>495</v>
      </c>
      <c r="C63" s="8" t="str">
        <f>IFERROR(__xludf.DUMMYFUNCTION("""COMPUTED_VALUE"""),"passive")</f>
        <v>passive</v>
      </c>
      <c r="D63" s="8">
        <f>IFERROR(__xludf.DUMMYFUNCTION("""COMPUTED_VALUE"""),0.0)</f>
        <v>0</v>
      </c>
      <c r="E63" s="8" t="str">
        <f>IFERROR(__xludf.DUMMYFUNCTION("""COMPUTED_VALUE"""),"head1")</f>
        <v>head1</v>
      </c>
      <c r="F63" s="8" t="str">
        <f>IFERROR(__xludf.DUMMYFUNCTION("""COMPUTED_VALUE"""),"")</f>
        <v/>
      </c>
    </row>
    <row r="64" ht="37.5" customHeight="1">
      <c r="A64" s="8" t="str">
        <f>IFERROR(__xludf.DUMMYFUNCTION("""COMPUTED_VALUE"""),"499_eucharist.anm2")</f>
        <v>499_eucharist.anm2</v>
      </c>
      <c r="B64" s="8">
        <f>IFERROR(__xludf.DUMMYFUNCTION("""COMPUTED_VALUE"""),499.0)</f>
        <v>499</v>
      </c>
      <c r="C64" s="8" t="str">
        <f>IFERROR(__xludf.DUMMYFUNCTION("""COMPUTED_VALUE"""),"passive")</f>
        <v>passive</v>
      </c>
      <c r="D64" s="8">
        <f>IFERROR(__xludf.DUMMYFUNCTION("""COMPUTED_VALUE"""),0.0)</f>
        <v>0</v>
      </c>
      <c r="E64" s="8" t="str">
        <f>IFERROR(__xludf.DUMMYFUNCTION("""COMPUTED_VALUE"""),"head1")</f>
        <v>head1</v>
      </c>
      <c r="F64" s="8" t="str">
        <f>IFERROR(__xludf.DUMMYFUNCTION("""COMPUTED_VALUE"""),"")</f>
        <v/>
      </c>
    </row>
    <row r="65" ht="37.5" customHeight="1">
      <c r="A65" s="8" t="str">
        <f>IFERROR(__xludf.DUMMYFUNCTION("""COMPUTED_VALUE"""),"502_largezit.anm2")</f>
        <v>502_largezit.anm2</v>
      </c>
      <c r="B65" s="8">
        <f>IFERROR(__xludf.DUMMYFUNCTION("""COMPUTED_VALUE"""),502.0)</f>
        <v>502</v>
      </c>
      <c r="C65" s="8" t="str">
        <f>IFERROR(__xludf.DUMMYFUNCTION("""COMPUTED_VALUE"""),"passive")</f>
        <v>passive</v>
      </c>
      <c r="D65" s="8">
        <f>IFERROR(__xludf.DUMMYFUNCTION("""COMPUTED_VALUE"""),0.0)</f>
        <v>0</v>
      </c>
      <c r="E65" s="8" t="str">
        <f>IFERROR(__xludf.DUMMYFUNCTION("""COMPUTED_VALUE"""),"head1")</f>
        <v>head1</v>
      </c>
      <c r="F65" s="8" t="str">
        <f>IFERROR(__xludf.DUMMYFUNCTION("""COMPUTED_VALUE"""),"")</f>
        <v/>
      </c>
    </row>
    <row r="66" ht="37.5" customHeight="1">
      <c r="A66" s="8" t="str">
        <f>IFERROR(__xludf.DUMMYFUNCTION("""COMPUTED_VALUE"""),"514_modem.anm2")</f>
        <v>514_modem.anm2</v>
      </c>
      <c r="B66" s="8">
        <f>IFERROR(__xludf.DUMMYFUNCTION("""COMPUTED_VALUE"""),514.0)</f>
        <v>514</v>
      </c>
      <c r="C66" s="8" t="str">
        <f>IFERROR(__xludf.DUMMYFUNCTION("""COMPUTED_VALUE"""),"passive")</f>
        <v>passive</v>
      </c>
      <c r="D66" s="8">
        <f>IFERROR(__xludf.DUMMYFUNCTION("""COMPUTED_VALUE"""),0.0)</f>
        <v>0</v>
      </c>
      <c r="E66" s="8" t="str">
        <f>IFERROR(__xludf.DUMMYFUNCTION("""COMPUTED_VALUE"""),"head1")</f>
        <v>head1</v>
      </c>
      <c r="F66" s="8" t="str">
        <f>IFERROR(__xludf.DUMMYFUNCTION("""COMPUTED_VALUE"""),"")</f>
        <v/>
      </c>
    </row>
    <row r="67" ht="37.5" customHeight="1">
      <c r="A67" s="8" t="str">
        <f>IFERROR(__xludf.DUMMYFUNCTION("""COMPUTED_VALUE"""),"547_divorcepapers.anm2")</f>
        <v>547_divorcepapers.anm2</v>
      </c>
      <c r="B67" s="8">
        <f>IFERROR(__xludf.DUMMYFUNCTION("""COMPUTED_VALUE"""),547.0)</f>
        <v>547</v>
      </c>
      <c r="C67" s="8" t="str">
        <f>IFERROR(__xludf.DUMMYFUNCTION("""COMPUTED_VALUE"""),"passive")</f>
        <v>passive</v>
      </c>
      <c r="D67" s="8">
        <f>IFERROR(__xludf.DUMMYFUNCTION("""COMPUTED_VALUE"""),0.0)</f>
        <v>0</v>
      </c>
      <c r="E67" s="8" t="str">
        <f>IFERROR(__xludf.DUMMYFUNCTION("""COMPUTED_VALUE"""),"head1")</f>
        <v>head1</v>
      </c>
      <c r="F67" s="8" t="str">
        <f>IFERROR(__xludf.DUMMYFUNCTION("""COMPUTED_VALUE"""),"")</f>
        <v/>
      </c>
    </row>
    <row r="68" ht="37.5" customHeight="1">
      <c r="A68" s="8" t="str">
        <f>IFERROR(__xludf.DUMMYFUNCTION("""COMPUTED_VALUE"""),"007x_ithurts.anm2")</f>
        <v>007x_ithurts.anm2</v>
      </c>
      <c r="B68" s="8">
        <f>IFERROR(__xludf.DUMMYFUNCTION("""COMPUTED_VALUE"""),560.0)</f>
        <v>560</v>
      </c>
      <c r="C68" s="8" t="str">
        <f>IFERROR(__xludf.DUMMYFUNCTION("""COMPUTED_VALUE"""),"passive")</f>
        <v>passive</v>
      </c>
      <c r="D68" s="8">
        <f>IFERROR(__xludf.DUMMYFUNCTION("""COMPUTED_VALUE"""),0.0)</f>
        <v>0</v>
      </c>
      <c r="E68" s="8" t="str">
        <f>IFERROR(__xludf.DUMMYFUNCTION("""COMPUTED_VALUE"""),"head1")</f>
        <v>head1</v>
      </c>
      <c r="F68" s="8" t="str">
        <f>IFERROR(__xludf.DUMMYFUNCTION("""COMPUTED_VALUE"""),"")</f>
        <v/>
      </c>
    </row>
    <row r="69" ht="37.5" customHeight="1">
      <c r="A69" s="8" t="str">
        <f>IFERROR(__xludf.DUMMYFUNCTION("""COMPUTED_VALUE"""),"008x_almondmilk.anm2")</f>
        <v>008x_almondmilk.anm2</v>
      </c>
      <c r="B69" s="8">
        <f>IFERROR(__xludf.DUMMYFUNCTION("""COMPUTED_VALUE"""),561.0)</f>
        <v>561</v>
      </c>
      <c r="C69" s="8" t="str">
        <f>IFERROR(__xludf.DUMMYFUNCTION("""COMPUTED_VALUE"""),"passive")</f>
        <v>passive</v>
      </c>
      <c r="D69" s="8">
        <f>IFERROR(__xludf.DUMMYFUNCTION("""COMPUTED_VALUE"""),0.0)</f>
        <v>0</v>
      </c>
      <c r="E69" s="8" t="str">
        <f>IFERROR(__xludf.DUMMYFUNCTION("""COMPUTED_VALUE"""),"head1")</f>
        <v>head1</v>
      </c>
      <c r="F69" s="8" t="str">
        <f>IFERROR(__xludf.DUMMYFUNCTION("""COMPUTED_VALUE"""),"")</f>
        <v/>
      </c>
    </row>
    <row r="70" ht="37.5" customHeight="1">
      <c r="A70" s="8" t="str">
        <f>IFERROR(__xludf.DUMMYFUNCTION("""COMPUTED_VALUE"""),"038x_venus.anm2")</f>
        <v>038x_venus.anm2</v>
      </c>
      <c r="B70" s="8">
        <f>IFERROR(__xludf.DUMMYFUNCTION("""COMPUTED_VALUE"""),591.0)</f>
        <v>591</v>
      </c>
      <c r="C70" s="8" t="str">
        <f>IFERROR(__xludf.DUMMYFUNCTION("""COMPUTED_VALUE"""),"passive")</f>
        <v>passive</v>
      </c>
      <c r="D70" s="8">
        <f>IFERROR(__xludf.DUMMYFUNCTION("""COMPUTED_VALUE"""),20.0)</f>
        <v>20</v>
      </c>
      <c r="E70" s="8" t="str">
        <f>IFERROR(__xludf.DUMMYFUNCTION("""COMPUTED_VALUE"""),"head1")</f>
        <v>head1</v>
      </c>
      <c r="F70" s="8" t="str">
        <f>IFERROR(__xludf.DUMMYFUNCTION("""COMPUTED_VALUE"""),"")</f>
        <v/>
      </c>
    </row>
    <row r="71" ht="37.5" customHeight="1">
      <c r="A71" s="8" t="str">
        <f>IFERROR(__xludf.DUMMYFUNCTION("""COMPUTED_VALUE"""),"043x_uranus.anm2")</f>
        <v>043x_uranus.anm2</v>
      </c>
      <c r="B71" s="8">
        <f>IFERROR(__xludf.DUMMYFUNCTION("""COMPUTED_VALUE"""),596.0)</f>
        <v>596</v>
      </c>
      <c r="C71" s="8" t="str">
        <f>IFERROR(__xludf.DUMMYFUNCTION("""COMPUTED_VALUE"""),"passive")</f>
        <v>passive</v>
      </c>
      <c r="D71" s="8">
        <f>IFERROR(__xludf.DUMMYFUNCTION("""COMPUTED_VALUE"""),1.0)</f>
        <v>1</v>
      </c>
      <c r="E71" s="8" t="str">
        <f>IFERROR(__xludf.DUMMYFUNCTION("""COMPUTED_VALUE"""),"head1")</f>
        <v>head1</v>
      </c>
      <c r="F71" s="8" t="str">
        <f>IFERROR(__xludf.DUMMYFUNCTION("""COMPUTED_VALUE"""),"")</f>
        <v/>
      </c>
    </row>
    <row r="72" ht="37.5" customHeight="1">
      <c r="A72" s="8" t="str">
        <f>IFERROR(__xludf.DUMMYFUNCTION("""COMPUTED_VALUE"""),"047x_eyedrops.anm2")</f>
        <v>047x_eyedrops.anm2</v>
      </c>
      <c r="B72" s="8">
        <f>IFERROR(__xludf.DUMMYFUNCTION("""COMPUTED_VALUE"""),600.0)</f>
        <v>600</v>
      </c>
      <c r="C72" s="8" t="str">
        <f>IFERROR(__xludf.DUMMYFUNCTION("""COMPUTED_VALUE"""),"passive")</f>
        <v>passive</v>
      </c>
      <c r="D72" s="8">
        <f>IFERROR(__xludf.DUMMYFUNCTION("""COMPUTED_VALUE"""),0.0)</f>
        <v>0</v>
      </c>
      <c r="E72" s="8" t="str">
        <f>IFERROR(__xludf.DUMMYFUNCTION("""COMPUTED_VALUE"""),"head1")</f>
        <v>head1</v>
      </c>
      <c r="F72" s="8" t="str">
        <f>IFERROR(__xludf.DUMMYFUNCTION("""COMPUTED_VALUE"""),"")</f>
        <v/>
      </c>
    </row>
    <row r="73" ht="37.5" customHeight="1">
      <c r="A73" s="8" t="str">
        <f>IFERROR(__xludf.DUMMYFUNCTION("""COMPUTED_VALUE"""),"050x_batterypack.anm2")</f>
        <v>050x_batterypack.anm2</v>
      </c>
      <c r="B73" s="8">
        <f>IFERROR(__xludf.DUMMYFUNCTION("""COMPUTED_VALUE"""),603.0)</f>
        <v>603</v>
      </c>
      <c r="C73" s="8" t="str">
        <f>IFERROR(__xludf.DUMMYFUNCTION("""COMPUTED_VALUE"""),"passive")</f>
        <v>passive</v>
      </c>
      <c r="D73" s="8">
        <f>IFERROR(__xludf.DUMMYFUNCTION("""COMPUTED_VALUE"""),0.0)</f>
        <v>0</v>
      </c>
      <c r="E73" s="8" t="str">
        <f>IFERROR(__xludf.DUMMYFUNCTION("""COMPUTED_VALUE"""),"head1")</f>
        <v>head1</v>
      </c>
      <c r="F73" s="8" t="str">
        <f>IFERROR(__xludf.DUMMYFUNCTION("""COMPUTED_VALUE"""),"")</f>
        <v/>
      </c>
    </row>
    <row r="74" ht="37.5" customHeight="1">
      <c r="A74" s="8" t="str">
        <f>IFERROR(__xludf.DUMMYFUNCTION("""COMPUTED_VALUE"""),"065x_rottentomato.anm2")</f>
        <v>065x_rottentomato.anm2</v>
      </c>
      <c r="B74" s="8">
        <f>IFERROR(__xludf.DUMMYFUNCTION("""COMPUTED_VALUE"""),618.0)</f>
        <v>618</v>
      </c>
      <c r="C74" s="8" t="str">
        <f>IFERROR(__xludf.DUMMYFUNCTION("""COMPUTED_VALUE"""),"passive")</f>
        <v>passive</v>
      </c>
      <c r="D74" s="8">
        <f>IFERROR(__xludf.DUMMYFUNCTION("""COMPUTED_VALUE"""),0.0)</f>
        <v>0</v>
      </c>
      <c r="E74" s="8" t="str">
        <f>IFERROR(__xludf.DUMMYFUNCTION("""COMPUTED_VALUE"""),"head1")</f>
        <v>head1</v>
      </c>
      <c r="F74" s="8" t="str">
        <f>IFERROR(__xludf.DUMMYFUNCTION("""COMPUTED_VALUE"""),"")</f>
        <v/>
      </c>
    </row>
    <row r="75" ht="37.5" customHeight="1">
      <c r="A75" s="8" t="str">
        <f>IFERROR(__xludf.DUMMYFUNCTION("""COMPUTED_VALUE"""),"068x_redstew.anm2")</f>
        <v>068x_redstew.anm2</v>
      </c>
      <c r="B75" s="8">
        <f>IFERROR(__xludf.DUMMYFUNCTION("""COMPUTED_VALUE"""),621.0)</f>
        <v>621</v>
      </c>
      <c r="C75" s="8" t="str">
        <f>IFERROR(__xludf.DUMMYFUNCTION("""COMPUTED_VALUE"""),"passive")</f>
        <v>passive</v>
      </c>
      <c r="D75" s="8">
        <f>IFERROR(__xludf.DUMMYFUNCTION("""COMPUTED_VALUE"""),0.0)</f>
        <v>0</v>
      </c>
      <c r="E75" s="8" t="str">
        <f>IFERROR(__xludf.DUMMYFUNCTION("""COMPUTED_VALUE"""),"head1")</f>
        <v>head1</v>
      </c>
      <c r="F75" s="8" t="str">
        <f>IFERROR(__xludf.DUMMYFUNCTION("""COMPUTED_VALUE"""),"")</f>
        <v/>
      </c>
    </row>
    <row r="76" ht="37.5" customHeight="1">
      <c r="A76" s="8" t="str">
        <f>IFERROR(__xludf.DUMMYFUNCTION("""COMPUTED_VALUE"""),"077x_lucky7.anm2")</f>
        <v>077x_lucky7.anm2</v>
      </c>
      <c r="B76" s="8">
        <f>IFERROR(__xludf.DUMMYFUNCTION("""COMPUTED_VALUE"""),630.0)</f>
        <v>630</v>
      </c>
      <c r="C76" s="8" t="str">
        <f>IFERROR(__xludf.DUMMYFUNCTION("""COMPUTED_VALUE"""),"passive")</f>
        <v>passive</v>
      </c>
      <c r="D76" s="8">
        <f>IFERROR(__xludf.DUMMYFUNCTION("""COMPUTED_VALUE"""),0.0)</f>
        <v>0</v>
      </c>
      <c r="E76" s="8" t="str">
        <f>IFERROR(__xludf.DUMMYFUNCTION("""COMPUTED_VALUE"""),"head1")</f>
        <v>head1</v>
      </c>
      <c r="F76" s="8" t="str">
        <f>IFERROR(__xludf.DUMMYFUNCTION("""COMPUTED_VALUE"""),"")</f>
        <v/>
      </c>
    </row>
    <row r="77" ht="37.5" customHeight="1">
      <c r="A77" s="8" t="str">
        <f>IFERROR(__xludf.DUMMYFUNCTION("""COMPUTED_VALUE"""),"675_crackedorb.anm2")</f>
        <v>675_crackedorb.anm2</v>
      </c>
      <c r="B77" s="8">
        <f>IFERROR(__xludf.DUMMYFUNCTION("""COMPUTED_VALUE"""),675.0)</f>
        <v>675</v>
      </c>
      <c r="C77" s="8" t="str">
        <f>IFERROR(__xludf.DUMMYFUNCTION("""COMPUTED_VALUE"""),"passive")</f>
        <v>passive</v>
      </c>
      <c r="D77" s="8">
        <f>IFERROR(__xludf.DUMMYFUNCTION("""COMPUTED_VALUE"""),0.0)</f>
        <v>0</v>
      </c>
      <c r="E77" s="8" t="str">
        <f>IFERROR(__xludf.DUMMYFUNCTION("""COMPUTED_VALUE"""),"head1")</f>
        <v>head1</v>
      </c>
      <c r="F77" s="8" t="str">
        <f>IFERROR(__xludf.DUMMYFUNCTION("""COMPUTED_VALUE"""),"")</f>
        <v/>
      </c>
    </row>
    <row r="78" ht="37.5" customHeight="1">
      <c r="A78" s="8"/>
      <c r="B78" s="8"/>
      <c r="C78" s="8"/>
      <c r="D78" s="8"/>
      <c r="E78" s="8"/>
      <c r="F78" s="8"/>
    </row>
    <row r="79" ht="37.5" customHeight="1">
      <c r="A79" s="8"/>
      <c r="B79" s="8"/>
      <c r="C79" s="8"/>
      <c r="D79" s="8"/>
      <c r="E79" s="8"/>
      <c r="F79" s="8"/>
    </row>
    <row r="80" ht="37.5" customHeight="1">
      <c r="A80" s="8"/>
      <c r="B80" s="8"/>
      <c r="C80" s="8"/>
      <c r="D80" s="8"/>
      <c r="E80" s="8"/>
      <c r="F80" s="8"/>
    </row>
    <row r="81" ht="37.5" customHeight="1">
      <c r="A81" s="8"/>
      <c r="B81" s="8"/>
      <c r="C81" s="8"/>
      <c r="D81" s="8"/>
      <c r="E81" s="8"/>
      <c r="F81" s="8"/>
    </row>
    <row r="82" ht="37.5" customHeight="1">
      <c r="A82" s="8"/>
      <c r="B82" s="8"/>
      <c r="C82" s="8"/>
      <c r="D82" s="8"/>
      <c r="E82" s="8"/>
      <c r="F82" s="8"/>
    </row>
    <row r="83" ht="37.5" customHeight="1">
      <c r="A83" s="8"/>
      <c r="B83" s="8"/>
      <c r="C83" s="8"/>
      <c r="D83" s="8"/>
      <c r="E83" s="8"/>
      <c r="F83" s="8"/>
    </row>
    <row r="84" ht="37.5" customHeight="1">
      <c r="A84" s="8"/>
      <c r="B84" s="8"/>
      <c r="C84" s="8"/>
      <c r="D84" s="8"/>
      <c r="E84" s="8"/>
      <c r="F84" s="8"/>
    </row>
    <row r="85" ht="37.5" customHeight="1">
      <c r="A85" s="8"/>
      <c r="B85" s="8"/>
      <c r="C85" s="8"/>
      <c r="D85" s="8"/>
      <c r="E85" s="8"/>
      <c r="F85" s="8"/>
    </row>
    <row r="86" ht="37.5" customHeight="1">
      <c r="A86" s="8"/>
      <c r="B86" s="8"/>
      <c r="C86" s="8"/>
      <c r="D86" s="8"/>
      <c r="E86" s="8"/>
      <c r="F86" s="8"/>
    </row>
    <row r="87" ht="37.5" customHeight="1">
      <c r="A87" s="8"/>
      <c r="B87" s="8"/>
      <c r="C87" s="8"/>
      <c r="D87" s="8"/>
      <c r="E87" s="8"/>
      <c r="F87" s="8"/>
    </row>
    <row r="88" ht="37.5" customHeight="1">
      <c r="A88" s="8"/>
      <c r="B88" s="8"/>
      <c r="C88" s="8"/>
      <c r="D88" s="8"/>
      <c r="E88" s="8"/>
      <c r="F88" s="8"/>
    </row>
    <row r="89" ht="37.5" customHeight="1">
      <c r="A89" s="8"/>
      <c r="B89" s="8"/>
      <c r="C89" s="8"/>
      <c r="D89" s="8"/>
      <c r="E89" s="8"/>
      <c r="F89" s="8"/>
    </row>
    <row r="90" ht="37.5" customHeight="1">
      <c r="A90" s="8"/>
      <c r="B90" s="8"/>
      <c r="C90" s="8"/>
      <c r="D90" s="8"/>
      <c r="E90" s="8"/>
      <c r="F90" s="8"/>
    </row>
    <row r="91" ht="37.5" customHeight="1">
      <c r="A91" s="8"/>
      <c r="B91" s="8"/>
      <c r="C91" s="8"/>
      <c r="D91" s="8"/>
      <c r="E91" s="8"/>
      <c r="F91" s="8"/>
    </row>
    <row r="92" ht="37.5" customHeight="1">
      <c r="A92" s="8"/>
      <c r="B92" s="8"/>
      <c r="C92" s="8"/>
      <c r="D92" s="8"/>
      <c r="E92" s="8"/>
      <c r="F92" s="8"/>
    </row>
    <row r="93" ht="37.5" customHeight="1">
      <c r="A93" s="8"/>
      <c r="B93" s="8"/>
      <c r="C93" s="8"/>
      <c r="D93" s="8"/>
      <c r="E93" s="8"/>
      <c r="F93" s="8"/>
    </row>
    <row r="94" ht="37.5" customHeight="1">
      <c r="A94" s="8"/>
      <c r="B94" s="8"/>
      <c r="C94" s="8"/>
      <c r="D94" s="8"/>
      <c r="E94" s="8"/>
      <c r="F94" s="8"/>
    </row>
    <row r="95" ht="37.5" customHeight="1">
      <c r="A95" s="8"/>
      <c r="B95" s="8"/>
      <c r="C95" s="8"/>
      <c r="D95" s="8"/>
      <c r="E95" s="8"/>
      <c r="F95" s="8"/>
    </row>
    <row r="96" ht="37.5" customHeight="1">
      <c r="A96" s="8"/>
      <c r="B96" s="8"/>
      <c r="C96" s="8"/>
      <c r="D96" s="8"/>
      <c r="E96" s="8"/>
      <c r="F96" s="8"/>
    </row>
    <row r="97" ht="37.5" customHeight="1">
      <c r="A97" s="8"/>
      <c r="B97" s="8"/>
      <c r="C97" s="8"/>
      <c r="D97" s="8"/>
      <c r="E97" s="8"/>
      <c r="F97" s="8"/>
    </row>
    <row r="98" ht="37.5" customHeight="1">
      <c r="A98" s="8"/>
      <c r="B98" s="8"/>
      <c r="C98" s="8"/>
      <c r="D98" s="8"/>
      <c r="E98" s="8"/>
      <c r="F98" s="8"/>
    </row>
    <row r="99" ht="37.5" customHeight="1">
      <c r="A99" s="8"/>
      <c r="B99" s="8"/>
      <c r="C99" s="8"/>
      <c r="D99" s="8"/>
      <c r="E99" s="8"/>
      <c r="F99" s="8"/>
    </row>
    <row r="100" ht="37.5" customHeight="1">
      <c r="A100" s="8"/>
      <c r="B100" s="8"/>
      <c r="C100" s="8"/>
      <c r="D100" s="8"/>
      <c r="E100" s="8"/>
      <c r="F100" s="8"/>
    </row>
    <row r="101" ht="37.5" customHeight="1">
      <c r="A101" s="8"/>
      <c r="B101" s="8"/>
      <c r="C101" s="8"/>
      <c r="D101" s="8"/>
      <c r="E101" s="8"/>
      <c r="F101" s="8"/>
    </row>
    <row r="102" ht="37.5" customHeight="1">
      <c r="A102" s="8"/>
      <c r="B102" s="8"/>
      <c r="C102" s="8"/>
      <c r="D102" s="8"/>
      <c r="E102" s="8"/>
      <c r="F102" s="8"/>
    </row>
    <row r="103" ht="37.5" customHeight="1">
      <c r="A103" s="8"/>
      <c r="B103" s="8"/>
      <c r="C103" s="8"/>
      <c r="D103" s="8"/>
      <c r="E103" s="8"/>
      <c r="F103" s="8"/>
    </row>
    <row r="104" ht="37.5" customHeight="1">
      <c r="A104" s="8"/>
      <c r="B104" s="8"/>
      <c r="C104" s="8"/>
      <c r="D104" s="8"/>
      <c r="E104" s="8"/>
      <c r="F104" s="8"/>
    </row>
    <row r="105" ht="37.5" customHeight="1">
      <c r="A105" s="8"/>
      <c r="B105" s="8"/>
      <c r="C105" s="8"/>
      <c r="D105" s="8"/>
      <c r="E105" s="8"/>
      <c r="F105" s="8"/>
    </row>
    <row r="106" ht="37.5" customHeight="1">
      <c r="A106" s="8"/>
      <c r="B106" s="8"/>
      <c r="C106" s="8"/>
      <c r="D106" s="8"/>
      <c r="E106" s="8"/>
      <c r="F106" s="8"/>
    </row>
    <row r="107" ht="37.5" customHeight="1">
      <c r="A107" s="8"/>
      <c r="B107" s="8"/>
      <c r="C107" s="8"/>
      <c r="D107" s="8"/>
      <c r="E107" s="8"/>
      <c r="F107" s="8"/>
    </row>
    <row r="108" ht="37.5" customHeight="1">
      <c r="A108" s="8"/>
      <c r="B108" s="8"/>
      <c r="C108" s="8"/>
      <c r="D108" s="8"/>
      <c r="E108" s="8"/>
      <c r="F108" s="8"/>
    </row>
    <row r="109" ht="37.5" customHeight="1">
      <c r="A109" s="8"/>
      <c r="B109" s="8"/>
      <c r="C109" s="8"/>
      <c r="D109" s="8"/>
      <c r="E109" s="8"/>
      <c r="F109" s="8"/>
    </row>
    <row r="110" ht="37.5" customHeight="1">
      <c r="A110" s="8"/>
      <c r="B110" s="8"/>
      <c r="C110" s="8"/>
      <c r="D110" s="8"/>
      <c r="E110" s="8"/>
      <c r="F110" s="8"/>
    </row>
    <row r="111" ht="37.5" customHeight="1">
      <c r="A111" s="8"/>
      <c r="B111" s="8"/>
      <c r="C111" s="8"/>
      <c r="D111" s="8"/>
      <c r="E111" s="8"/>
      <c r="F111" s="8"/>
    </row>
    <row r="112" ht="37.5" customHeight="1">
      <c r="A112" s="8"/>
      <c r="B112" s="8"/>
      <c r="C112" s="8"/>
      <c r="D112" s="8"/>
      <c r="E112" s="8"/>
      <c r="F112" s="8"/>
    </row>
    <row r="113" ht="37.5" customHeight="1">
      <c r="A113" s="8"/>
      <c r="B113" s="8"/>
      <c r="C113" s="8"/>
      <c r="D113" s="8"/>
      <c r="E113" s="8"/>
      <c r="F113" s="8"/>
    </row>
    <row r="114" ht="37.5" customHeight="1">
      <c r="A114" s="8"/>
      <c r="B114" s="8"/>
      <c r="C114" s="8"/>
      <c r="D114" s="8"/>
      <c r="E114" s="8"/>
      <c r="F114" s="8"/>
    </row>
    <row r="115" ht="37.5" customHeight="1">
      <c r="A115" s="8"/>
      <c r="B115" s="8"/>
      <c r="C115" s="8"/>
      <c r="D115" s="8"/>
      <c r="E115" s="8"/>
      <c r="F115" s="8"/>
    </row>
    <row r="116" ht="37.5" customHeight="1">
      <c r="A116" s="8"/>
      <c r="B116" s="8"/>
      <c r="C116" s="8"/>
      <c r="D116" s="8"/>
      <c r="E116" s="8"/>
      <c r="F116" s="8"/>
    </row>
    <row r="117" ht="37.5" customHeight="1">
      <c r="A117" s="8"/>
      <c r="B117" s="8"/>
      <c r="C117" s="8"/>
      <c r="D117" s="8"/>
      <c r="E117" s="8"/>
      <c r="F117" s="8"/>
    </row>
    <row r="118" ht="37.5" customHeight="1">
      <c r="A118" s="8"/>
      <c r="B118" s="8"/>
      <c r="C118" s="8"/>
      <c r="D118" s="8"/>
      <c r="E118" s="8"/>
      <c r="F118" s="8"/>
    </row>
    <row r="119" ht="37.5" customHeight="1">
      <c r="A119" s="8"/>
      <c r="B119" s="8"/>
      <c r="C119" s="8"/>
      <c r="D119" s="8"/>
      <c r="E119" s="8"/>
      <c r="F119" s="8"/>
    </row>
    <row r="120" ht="37.5" customHeight="1">
      <c r="A120" s="8"/>
      <c r="B120" s="8"/>
      <c r="C120" s="8"/>
      <c r="D120" s="8"/>
      <c r="E120" s="8"/>
      <c r="F120" s="8"/>
    </row>
    <row r="121" ht="37.5" customHeight="1">
      <c r="A121" s="8"/>
      <c r="B121" s="8"/>
      <c r="C121" s="8"/>
      <c r="D121" s="8"/>
      <c r="E121" s="8"/>
      <c r="F121" s="8"/>
    </row>
    <row r="122" ht="37.5" customHeight="1">
      <c r="A122" s="8"/>
      <c r="B122" s="8"/>
      <c r="C122" s="8"/>
      <c r="D122" s="8"/>
      <c r="E122" s="8"/>
      <c r="F122" s="8"/>
    </row>
    <row r="123" ht="37.5" customHeight="1">
      <c r="A123" s="8"/>
      <c r="B123" s="8"/>
      <c r="C123" s="8"/>
      <c r="D123" s="8"/>
      <c r="E123" s="8"/>
      <c r="F123" s="8"/>
    </row>
    <row r="124" ht="37.5" customHeight="1">
      <c r="A124" s="8"/>
      <c r="B124" s="8"/>
      <c r="C124" s="8"/>
      <c r="D124" s="8"/>
      <c r="E124" s="8"/>
      <c r="F124" s="8"/>
    </row>
    <row r="125" ht="37.5" customHeight="1">
      <c r="A125" s="8"/>
      <c r="B125" s="8"/>
      <c r="C125" s="8"/>
      <c r="D125" s="8"/>
      <c r="E125" s="8"/>
      <c r="F125" s="8"/>
    </row>
    <row r="126" ht="37.5" customHeight="1">
      <c r="A126" s="8"/>
      <c r="B126" s="8"/>
      <c r="C126" s="8"/>
      <c r="D126" s="8"/>
      <c r="E126" s="8"/>
      <c r="F126" s="8"/>
    </row>
    <row r="127" ht="37.5" customHeight="1">
      <c r="A127" s="8"/>
      <c r="B127" s="8"/>
      <c r="C127" s="8"/>
      <c r="D127" s="8"/>
      <c r="E127" s="8"/>
      <c r="F127" s="8"/>
    </row>
    <row r="128" ht="37.5" customHeight="1">
      <c r="A128" s="8"/>
      <c r="B128" s="8"/>
      <c r="C128" s="8"/>
      <c r="D128" s="8"/>
      <c r="E128" s="8"/>
      <c r="F128" s="8"/>
    </row>
    <row r="129" ht="37.5" customHeight="1">
      <c r="A129" s="8"/>
      <c r="B129" s="8"/>
      <c r="C129" s="8"/>
      <c r="D129" s="8"/>
      <c r="E129" s="8"/>
      <c r="F129" s="8"/>
    </row>
    <row r="130" ht="37.5" customHeight="1">
      <c r="A130" s="8"/>
      <c r="B130" s="8"/>
      <c r="C130" s="8"/>
      <c r="D130" s="8"/>
      <c r="E130" s="8"/>
      <c r="F130" s="8"/>
    </row>
    <row r="131" ht="37.5" customHeight="1">
      <c r="A131" s="8"/>
      <c r="B131" s="8"/>
      <c r="C131" s="8"/>
      <c r="D131" s="8"/>
      <c r="E131" s="8"/>
      <c r="F131" s="8"/>
    </row>
    <row r="132" ht="37.5" customHeight="1">
      <c r="A132" s="8"/>
      <c r="B132" s="8"/>
      <c r="C132" s="8"/>
      <c r="D132" s="8"/>
      <c r="E132" s="8"/>
      <c r="F132" s="8"/>
    </row>
    <row r="133" ht="37.5" customHeight="1">
      <c r="A133" s="8"/>
      <c r="B133" s="8"/>
      <c r="C133" s="8"/>
      <c r="D133" s="8"/>
      <c r="E133" s="8"/>
      <c r="F133" s="8"/>
    </row>
    <row r="134" ht="37.5" customHeight="1">
      <c r="A134" s="8"/>
      <c r="B134" s="8"/>
      <c r="C134" s="8"/>
      <c r="D134" s="8"/>
      <c r="E134" s="8"/>
      <c r="F134" s="8"/>
    </row>
    <row r="135" ht="37.5" customHeight="1">
      <c r="A135" s="8"/>
      <c r="B135" s="8"/>
      <c r="C135" s="8"/>
      <c r="D135" s="8"/>
      <c r="E135" s="8"/>
      <c r="F135" s="8"/>
    </row>
    <row r="136" ht="37.5" customHeight="1">
      <c r="A136" s="8"/>
      <c r="B136" s="8"/>
      <c r="C136" s="8"/>
      <c r="D136" s="8"/>
      <c r="E136" s="8"/>
      <c r="F136" s="8"/>
    </row>
    <row r="137" ht="37.5" customHeight="1">
      <c r="A137" s="8"/>
      <c r="B137" s="8"/>
      <c r="C137" s="8"/>
      <c r="D137" s="8"/>
      <c r="E137" s="8"/>
      <c r="F137" s="8"/>
    </row>
    <row r="138" ht="37.5" customHeight="1">
      <c r="A138" s="8"/>
      <c r="B138" s="8"/>
      <c r="C138" s="8"/>
      <c r="D138" s="8"/>
      <c r="E138" s="8"/>
      <c r="F138" s="8"/>
    </row>
    <row r="139" ht="37.5" customHeight="1">
      <c r="A139" s="8"/>
      <c r="B139" s="8"/>
      <c r="C139" s="8"/>
      <c r="D139" s="8"/>
      <c r="E139" s="8"/>
      <c r="F139" s="8"/>
    </row>
    <row r="140" ht="37.5" customHeight="1">
      <c r="A140" s="8"/>
      <c r="B140" s="8"/>
      <c r="C140" s="8"/>
      <c r="D140" s="8"/>
      <c r="E140" s="8"/>
      <c r="F140" s="8"/>
    </row>
    <row r="141" ht="37.5" customHeight="1">
      <c r="A141" s="8"/>
      <c r="B141" s="8"/>
      <c r="C141" s="8"/>
      <c r="D141" s="8"/>
      <c r="E141" s="8"/>
      <c r="F141" s="8"/>
    </row>
    <row r="142" ht="37.5" customHeight="1">
      <c r="A142" s="8"/>
      <c r="B142" s="8"/>
      <c r="C142" s="8"/>
      <c r="D142" s="8"/>
      <c r="E142" s="8"/>
      <c r="F142" s="8"/>
    </row>
    <row r="143" ht="37.5" customHeight="1">
      <c r="A143" s="8"/>
      <c r="B143" s="8"/>
      <c r="C143" s="8"/>
      <c r="D143" s="8"/>
      <c r="E143" s="8"/>
      <c r="F143" s="8"/>
    </row>
    <row r="144" ht="37.5" customHeight="1">
      <c r="A144" s="8"/>
      <c r="B144" s="8"/>
      <c r="C144" s="8"/>
      <c r="D144" s="8"/>
      <c r="E144" s="8"/>
      <c r="F144" s="8"/>
    </row>
    <row r="145" ht="37.5" customHeight="1">
      <c r="A145" s="8"/>
      <c r="B145" s="8"/>
      <c r="C145" s="8"/>
      <c r="D145" s="8"/>
      <c r="E145" s="8"/>
      <c r="F145" s="8"/>
    </row>
    <row r="146" ht="37.5" customHeight="1">
      <c r="A146" s="8"/>
      <c r="B146" s="8"/>
      <c r="C146" s="8"/>
      <c r="D146" s="8"/>
      <c r="E146" s="8"/>
      <c r="F146" s="8"/>
    </row>
    <row r="147" ht="37.5" customHeight="1">
      <c r="A147" s="8"/>
      <c r="B147" s="8"/>
      <c r="C147" s="8"/>
      <c r="D147" s="8"/>
      <c r="E147" s="8"/>
      <c r="F147" s="8"/>
    </row>
    <row r="148" ht="37.5" customHeight="1">
      <c r="A148" s="8"/>
      <c r="B148" s="8"/>
      <c r="C148" s="8"/>
      <c r="D148" s="8"/>
      <c r="E148" s="8"/>
      <c r="F148" s="8"/>
    </row>
    <row r="149" ht="37.5" customHeight="1">
      <c r="A149" s="8"/>
      <c r="B149" s="8"/>
      <c r="C149" s="8"/>
      <c r="D149" s="8"/>
      <c r="E149" s="8"/>
      <c r="F149" s="8"/>
    </row>
    <row r="150" ht="37.5" customHeight="1">
      <c r="A150" s="8"/>
      <c r="B150" s="8"/>
      <c r="C150" s="8"/>
      <c r="D150" s="8"/>
      <c r="E150" s="8"/>
      <c r="F150" s="8"/>
    </row>
    <row r="151" ht="37.5" customHeight="1">
      <c r="A151" s="8"/>
      <c r="B151" s="8"/>
      <c r="C151" s="8"/>
      <c r="D151" s="8"/>
      <c r="E151" s="8"/>
      <c r="F151" s="8"/>
    </row>
    <row r="152" ht="37.5" customHeight="1">
      <c r="A152" s="8"/>
      <c r="B152" s="8"/>
      <c r="C152" s="8"/>
      <c r="D152" s="8"/>
      <c r="E152" s="8"/>
      <c r="F152" s="8"/>
    </row>
    <row r="153" ht="37.5" customHeight="1">
      <c r="A153" s="8"/>
      <c r="B153" s="8"/>
      <c r="C153" s="8"/>
      <c r="D153" s="8"/>
      <c r="E153" s="8"/>
      <c r="F153" s="8"/>
    </row>
    <row r="154" ht="37.5" customHeight="1">
      <c r="A154" s="8"/>
      <c r="B154" s="8"/>
      <c r="C154" s="8"/>
      <c r="D154" s="8"/>
      <c r="E154" s="8"/>
      <c r="F154" s="8"/>
    </row>
    <row r="155" ht="37.5" customHeight="1">
      <c r="A155" s="8"/>
      <c r="B155" s="8"/>
      <c r="C155" s="8"/>
      <c r="D155" s="8"/>
      <c r="E155" s="8"/>
      <c r="F155" s="8"/>
    </row>
    <row r="156" ht="37.5" customHeight="1">
      <c r="A156" s="8"/>
      <c r="B156" s="8"/>
      <c r="C156" s="8"/>
      <c r="D156" s="8"/>
      <c r="E156" s="8"/>
      <c r="F156" s="8"/>
    </row>
    <row r="157" ht="37.5" customHeight="1">
      <c r="A157" s="8"/>
      <c r="B157" s="8"/>
      <c r="C157" s="8"/>
      <c r="D157" s="8"/>
      <c r="E157" s="8"/>
      <c r="F157" s="8"/>
    </row>
    <row r="158" ht="37.5" customHeight="1">
      <c r="A158" s="8"/>
      <c r="B158" s="8"/>
      <c r="C158" s="8"/>
      <c r="D158" s="8"/>
      <c r="E158" s="8"/>
      <c r="F158" s="8"/>
    </row>
    <row r="159" ht="37.5" customHeight="1">
      <c r="A159" s="8"/>
      <c r="B159" s="8"/>
      <c r="C159" s="8"/>
      <c r="D159" s="8"/>
      <c r="E159" s="8"/>
      <c r="F159" s="8"/>
    </row>
    <row r="160" ht="37.5" customHeight="1">
      <c r="A160" s="8"/>
      <c r="B160" s="8"/>
      <c r="C160" s="8"/>
      <c r="D160" s="8"/>
      <c r="E160" s="8"/>
      <c r="F160" s="8"/>
    </row>
    <row r="161" ht="37.5" customHeight="1">
      <c r="A161" s="8"/>
      <c r="B161" s="8"/>
      <c r="C161" s="8"/>
      <c r="D161" s="8"/>
      <c r="E161" s="8"/>
      <c r="F161" s="8"/>
    </row>
    <row r="162" ht="37.5" customHeight="1">
      <c r="A162" s="8"/>
      <c r="B162" s="8"/>
      <c r="C162" s="8"/>
      <c r="D162" s="8"/>
      <c r="E162" s="8"/>
      <c r="F162" s="8"/>
    </row>
    <row r="163" ht="37.5" customHeight="1">
      <c r="A163" s="8"/>
      <c r="B163" s="8"/>
      <c r="C163" s="8"/>
      <c r="D163" s="8"/>
      <c r="E163" s="8"/>
      <c r="F163" s="8"/>
    </row>
    <row r="164" ht="37.5" customHeight="1">
      <c r="A164" s="8"/>
      <c r="B164" s="8"/>
      <c r="C164" s="8"/>
      <c r="D164" s="8"/>
      <c r="E164" s="8"/>
      <c r="F164" s="8"/>
    </row>
    <row r="165" ht="37.5" customHeight="1">
      <c r="A165" s="8"/>
      <c r="B165" s="8"/>
      <c r="C165" s="8"/>
      <c r="D165" s="8"/>
      <c r="E165" s="8"/>
      <c r="F165" s="8"/>
    </row>
    <row r="166" ht="37.5" customHeight="1">
      <c r="A166" s="8"/>
      <c r="B166" s="8"/>
      <c r="C166" s="8"/>
      <c r="D166" s="8"/>
      <c r="E166" s="8"/>
      <c r="F166" s="8"/>
    </row>
    <row r="167" ht="37.5" customHeight="1">
      <c r="A167" s="8"/>
      <c r="B167" s="8"/>
      <c r="C167" s="8"/>
      <c r="D167" s="8"/>
      <c r="E167" s="8"/>
      <c r="F167" s="8"/>
    </row>
    <row r="168" ht="37.5" customHeight="1">
      <c r="A168" s="8"/>
      <c r="B168" s="8"/>
      <c r="C168" s="8"/>
      <c r="D168" s="8"/>
      <c r="E168" s="8"/>
      <c r="F168" s="8"/>
    </row>
    <row r="169" ht="37.5" customHeight="1">
      <c r="A169" s="8"/>
      <c r="B169" s="8"/>
      <c r="C169" s="8"/>
      <c r="D169" s="8"/>
      <c r="E169" s="8"/>
      <c r="F169" s="8"/>
    </row>
    <row r="170" ht="37.5" customHeight="1">
      <c r="A170" s="8"/>
      <c r="B170" s="8"/>
      <c r="C170" s="8"/>
      <c r="D170" s="8"/>
      <c r="E170" s="8"/>
      <c r="F170" s="8"/>
    </row>
    <row r="171" ht="37.5" customHeight="1">
      <c r="A171" s="8"/>
      <c r="B171" s="8"/>
      <c r="C171" s="8"/>
      <c r="D171" s="8"/>
      <c r="E171" s="8"/>
      <c r="F171" s="8"/>
    </row>
    <row r="172" ht="37.5" customHeight="1">
      <c r="A172" s="8"/>
      <c r="B172" s="8"/>
      <c r="C172" s="8"/>
      <c r="D172" s="8"/>
      <c r="E172" s="8"/>
      <c r="F172" s="8"/>
    </row>
    <row r="173" ht="37.5" customHeight="1">
      <c r="A173" s="8"/>
      <c r="B173" s="8"/>
      <c r="C173" s="8"/>
      <c r="D173" s="8"/>
      <c r="E173" s="8"/>
      <c r="F173" s="8"/>
    </row>
    <row r="174" ht="37.5" customHeight="1">
      <c r="A174" s="8"/>
      <c r="B174" s="8"/>
      <c r="C174" s="8"/>
      <c r="D174" s="8"/>
      <c r="E174" s="8"/>
      <c r="F174" s="8"/>
    </row>
    <row r="175" ht="37.5" customHeight="1">
      <c r="A175" s="8"/>
      <c r="B175" s="8"/>
      <c r="C175" s="8"/>
      <c r="D175" s="8"/>
      <c r="E175" s="8"/>
      <c r="F175" s="8"/>
    </row>
    <row r="176" ht="37.5" customHeight="1">
      <c r="A176" s="8"/>
      <c r="B176" s="8"/>
      <c r="C176" s="8"/>
      <c r="D176" s="8"/>
      <c r="E176" s="8"/>
      <c r="F176" s="8"/>
    </row>
    <row r="177" ht="37.5" customHeight="1">
      <c r="A177" s="8"/>
      <c r="B177" s="8"/>
      <c r="C177" s="8"/>
      <c r="D177" s="8"/>
      <c r="E177" s="8"/>
      <c r="F177" s="8"/>
    </row>
    <row r="178" ht="37.5" customHeight="1">
      <c r="A178" s="8"/>
      <c r="B178" s="8"/>
      <c r="C178" s="8"/>
      <c r="D178" s="8"/>
      <c r="E178" s="8"/>
      <c r="F178" s="8"/>
    </row>
    <row r="179" ht="37.5" customHeight="1">
      <c r="A179" s="8"/>
      <c r="B179" s="8"/>
      <c r="C179" s="8"/>
      <c r="D179" s="8"/>
      <c r="E179" s="8"/>
      <c r="F179" s="8"/>
    </row>
    <row r="180" ht="37.5" customHeight="1">
      <c r="A180" s="8"/>
      <c r="B180" s="8"/>
      <c r="C180" s="8"/>
      <c r="D180" s="8"/>
      <c r="E180" s="8"/>
      <c r="F180" s="8"/>
    </row>
    <row r="181" ht="37.5" customHeight="1">
      <c r="A181" s="8"/>
      <c r="B181" s="8"/>
      <c r="C181" s="8"/>
      <c r="D181" s="8"/>
      <c r="E181" s="8"/>
      <c r="F181" s="8"/>
    </row>
    <row r="182" ht="37.5" customHeight="1">
      <c r="A182" s="8"/>
      <c r="B182" s="8"/>
      <c r="C182" s="8"/>
      <c r="D182" s="8"/>
      <c r="E182" s="8"/>
      <c r="F182" s="8"/>
    </row>
    <row r="183" ht="37.5" customHeight="1">
      <c r="A183" s="8"/>
      <c r="B183" s="8"/>
      <c r="C183" s="8"/>
      <c r="D183" s="8"/>
      <c r="E183" s="8"/>
      <c r="F183" s="8"/>
    </row>
    <row r="184" ht="37.5" customHeight="1">
      <c r="A184" s="8"/>
      <c r="B184" s="8"/>
      <c r="C184" s="8"/>
      <c r="D184" s="8"/>
      <c r="E184" s="8"/>
      <c r="F184" s="8"/>
    </row>
    <row r="185" ht="37.5" customHeight="1">
      <c r="A185" s="8"/>
      <c r="B185" s="8"/>
      <c r="C185" s="8"/>
      <c r="D185" s="8"/>
      <c r="E185" s="8"/>
      <c r="F185" s="8"/>
    </row>
    <row r="186" ht="37.5" customHeight="1">
      <c r="A186" s="8"/>
      <c r="B186" s="8"/>
      <c r="C186" s="8"/>
      <c r="D186" s="8"/>
      <c r="E186" s="8"/>
      <c r="F186" s="8"/>
    </row>
    <row r="187" ht="37.5" customHeight="1">
      <c r="A187" s="8"/>
      <c r="B187" s="8"/>
      <c r="C187" s="8"/>
      <c r="D187" s="8"/>
      <c r="E187" s="8"/>
      <c r="F187" s="8"/>
    </row>
    <row r="188" ht="37.5" customHeight="1">
      <c r="A188" s="8"/>
      <c r="B188" s="8"/>
      <c r="C188" s="8"/>
      <c r="D188" s="8"/>
      <c r="E188" s="8"/>
      <c r="F188" s="8"/>
    </row>
    <row r="189" ht="37.5" customHeight="1">
      <c r="A189" s="8"/>
      <c r="B189" s="8"/>
      <c r="C189" s="8"/>
      <c r="D189" s="8"/>
      <c r="E189" s="8"/>
      <c r="F189" s="8"/>
    </row>
    <row r="190" ht="37.5" customHeight="1">
      <c r="A190" s="8"/>
      <c r="B190" s="8"/>
      <c r="C190" s="8"/>
      <c r="D190" s="8"/>
      <c r="E190" s="8"/>
      <c r="F190" s="8"/>
    </row>
    <row r="191" ht="37.5" customHeight="1">
      <c r="A191" s="8"/>
      <c r="B191" s="8"/>
      <c r="C191" s="8"/>
      <c r="D191" s="8"/>
      <c r="E191" s="8"/>
      <c r="F191" s="8"/>
    </row>
    <row r="192" ht="37.5" customHeight="1">
      <c r="A192" s="8"/>
      <c r="B192" s="8"/>
      <c r="C192" s="8"/>
      <c r="D192" s="8"/>
      <c r="E192" s="8"/>
      <c r="F192" s="8"/>
    </row>
    <row r="193" ht="37.5" customHeight="1">
      <c r="A193" s="8"/>
      <c r="B193" s="8"/>
      <c r="C193" s="8"/>
      <c r="D193" s="8"/>
      <c r="E193" s="8"/>
      <c r="F193" s="8"/>
    </row>
    <row r="194" ht="37.5" customHeight="1">
      <c r="A194" s="8"/>
      <c r="B194" s="8"/>
      <c r="C194" s="8"/>
      <c r="D194" s="8"/>
      <c r="E194" s="8"/>
      <c r="F194" s="8"/>
    </row>
    <row r="195" ht="37.5" customHeight="1">
      <c r="A195" s="8"/>
      <c r="B195" s="8"/>
      <c r="C195" s="8"/>
      <c r="D195" s="8"/>
      <c r="E195" s="8"/>
      <c r="F195" s="8"/>
    </row>
    <row r="196" ht="37.5" customHeight="1">
      <c r="A196" s="8"/>
      <c r="B196" s="8"/>
      <c r="C196" s="8"/>
      <c r="D196" s="8"/>
      <c r="E196" s="8"/>
      <c r="F196" s="8"/>
    </row>
    <row r="197" ht="37.5" customHeight="1">
      <c r="A197" s="8"/>
      <c r="B197" s="8"/>
      <c r="C197" s="8"/>
      <c r="D197" s="8"/>
      <c r="E197" s="8"/>
      <c r="F197" s="8"/>
    </row>
    <row r="198" ht="37.5" customHeight="1">
      <c r="A198" s="8"/>
      <c r="B198" s="8"/>
      <c r="C198" s="8"/>
      <c r="D198" s="8"/>
      <c r="E198" s="8"/>
      <c r="F198" s="8"/>
    </row>
    <row r="199" ht="37.5" customHeight="1">
      <c r="A199" s="8"/>
      <c r="B199" s="8"/>
      <c r="C199" s="8"/>
      <c r="D199" s="8"/>
      <c r="E199" s="8"/>
      <c r="F199" s="8"/>
    </row>
    <row r="200" ht="37.5" customHeight="1">
      <c r="A200" s="8"/>
      <c r="B200" s="8"/>
      <c r="C200" s="8"/>
      <c r="D200" s="8"/>
      <c r="E200" s="8"/>
      <c r="F200" s="8"/>
    </row>
    <row r="201" ht="37.5" customHeight="1">
      <c r="A201" s="8"/>
      <c r="B201" s="8"/>
      <c r="C201" s="8"/>
      <c r="D201" s="8"/>
      <c r="E201" s="8"/>
      <c r="F201" s="8"/>
    </row>
    <row r="202" ht="37.5" customHeight="1">
      <c r="A202" s="8"/>
      <c r="B202" s="8"/>
      <c r="C202" s="8"/>
      <c r="D202" s="8"/>
      <c r="E202" s="8"/>
      <c r="F202" s="8"/>
    </row>
    <row r="203" ht="37.5" customHeight="1">
      <c r="A203" s="8"/>
      <c r="B203" s="8"/>
      <c r="C203" s="8"/>
      <c r="D203" s="8"/>
      <c r="E203" s="8"/>
      <c r="F203" s="8"/>
    </row>
    <row r="204" ht="37.5" customHeight="1">
      <c r="A204" s="8"/>
      <c r="B204" s="8"/>
      <c r="C204" s="8"/>
      <c r="D204" s="8"/>
      <c r="E204" s="8"/>
      <c r="F204" s="8"/>
    </row>
    <row r="205" ht="37.5" customHeight="1">
      <c r="A205" s="8"/>
      <c r="B205" s="8"/>
      <c r="C205" s="8"/>
      <c r="D205" s="8"/>
      <c r="E205" s="8"/>
      <c r="F205" s="8"/>
    </row>
    <row r="206" ht="37.5" customHeight="1">
      <c r="A206" s="8"/>
      <c r="B206" s="8"/>
      <c r="C206" s="8"/>
      <c r="D206" s="8"/>
      <c r="E206" s="8"/>
      <c r="F206" s="8"/>
    </row>
    <row r="207" ht="37.5" customHeight="1">
      <c r="A207" s="8"/>
      <c r="B207" s="8"/>
      <c r="C207" s="8"/>
      <c r="D207" s="8"/>
      <c r="E207" s="8"/>
      <c r="F207" s="8"/>
    </row>
    <row r="208" ht="37.5" customHeight="1">
      <c r="A208" s="8"/>
      <c r="B208" s="8"/>
      <c r="C208" s="8"/>
      <c r="D208" s="8"/>
      <c r="E208" s="8"/>
      <c r="F208" s="8"/>
    </row>
    <row r="209" ht="37.5" customHeight="1">
      <c r="A209" s="8"/>
      <c r="B209" s="8"/>
      <c r="C209" s="8"/>
      <c r="D209" s="8"/>
      <c r="E209" s="8"/>
      <c r="F209" s="8"/>
    </row>
    <row r="210" ht="37.5" customHeight="1">
      <c r="A210" s="8"/>
      <c r="B210" s="8"/>
      <c r="C210" s="8"/>
      <c r="D210" s="8"/>
      <c r="E210" s="8"/>
      <c r="F210" s="8"/>
    </row>
    <row r="211" ht="37.5" customHeight="1">
      <c r="A211" s="8"/>
      <c r="B211" s="8"/>
      <c r="C211" s="8"/>
      <c r="D211" s="8"/>
      <c r="E211" s="8"/>
      <c r="F211" s="8"/>
    </row>
    <row r="212" ht="37.5" customHeight="1">
      <c r="A212" s="8"/>
      <c r="B212" s="8"/>
      <c r="C212" s="8"/>
      <c r="D212" s="8"/>
      <c r="E212" s="8"/>
      <c r="F212" s="8"/>
    </row>
    <row r="213" ht="37.5" customHeight="1">
      <c r="A213" s="8"/>
      <c r="B213" s="8"/>
      <c r="C213" s="8"/>
      <c r="D213" s="8"/>
      <c r="E213" s="8"/>
      <c r="F213" s="8"/>
    </row>
    <row r="214" ht="37.5" customHeight="1">
      <c r="A214" s="8"/>
      <c r="B214" s="8"/>
      <c r="C214" s="8"/>
      <c r="D214" s="8"/>
      <c r="E214" s="8"/>
      <c r="F214" s="8"/>
    </row>
    <row r="215" ht="37.5" customHeight="1">
      <c r="A215" s="8"/>
      <c r="B215" s="8"/>
      <c r="C215" s="8"/>
      <c r="D215" s="8"/>
      <c r="E215" s="8"/>
      <c r="F215" s="8"/>
    </row>
    <row r="216" ht="37.5" customHeight="1">
      <c r="A216" s="8"/>
      <c r="B216" s="8"/>
      <c r="C216" s="8"/>
      <c r="D216" s="8"/>
      <c r="E216" s="8"/>
      <c r="F216" s="8"/>
    </row>
    <row r="217" ht="37.5" customHeight="1">
      <c r="A217" s="8"/>
      <c r="B217" s="8"/>
      <c r="C217" s="8"/>
      <c r="D217" s="8"/>
      <c r="E217" s="8"/>
      <c r="F217" s="8"/>
    </row>
    <row r="218" ht="37.5" customHeight="1">
      <c r="A218" s="8"/>
      <c r="B218" s="8"/>
      <c r="C218" s="8"/>
      <c r="D218" s="8"/>
      <c r="E218" s="8"/>
      <c r="F218" s="8"/>
    </row>
    <row r="219" ht="37.5" customHeight="1">
      <c r="A219" s="8"/>
      <c r="B219" s="8"/>
      <c r="C219" s="8"/>
      <c r="D219" s="8"/>
      <c r="E219" s="8"/>
      <c r="F219" s="8"/>
    </row>
    <row r="220" ht="37.5" customHeight="1">
      <c r="A220" s="8"/>
      <c r="B220" s="8"/>
      <c r="C220" s="8"/>
      <c r="D220" s="8"/>
      <c r="E220" s="8"/>
      <c r="F220" s="8"/>
    </row>
    <row r="221" ht="37.5" customHeight="1">
      <c r="A221" s="8"/>
      <c r="B221" s="8"/>
      <c r="C221" s="8"/>
      <c r="D221" s="8"/>
      <c r="E221" s="8"/>
      <c r="F221" s="8"/>
    </row>
    <row r="222" ht="37.5" customHeight="1">
      <c r="A222" s="8"/>
      <c r="B222" s="8"/>
      <c r="C222" s="8"/>
      <c r="D222" s="8"/>
      <c r="E222" s="8"/>
      <c r="F222" s="8"/>
    </row>
    <row r="223" ht="37.5" customHeight="1">
      <c r="A223" s="8"/>
      <c r="B223" s="8"/>
      <c r="C223" s="8"/>
      <c r="D223" s="8"/>
      <c r="E223" s="8"/>
      <c r="F223" s="8"/>
    </row>
    <row r="224" ht="37.5" customHeight="1">
      <c r="A224" s="8"/>
      <c r="B224" s="8"/>
      <c r="C224" s="8"/>
      <c r="D224" s="8"/>
      <c r="E224" s="8"/>
      <c r="F224" s="8"/>
    </row>
    <row r="225" ht="37.5" customHeight="1">
      <c r="A225" s="8"/>
      <c r="B225" s="8"/>
      <c r="C225" s="8"/>
      <c r="D225" s="8"/>
      <c r="E225" s="8"/>
      <c r="F225" s="8"/>
    </row>
    <row r="226" ht="37.5" customHeight="1">
      <c r="A226" s="8"/>
      <c r="B226" s="8"/>
      <c r="C226" s="8"/>
      <c r="D226" s="8"/>
      <c r="E226" s="8"/>
      <c r="F226" s="8"/>
    </row>
    <row r="227" ht="37.5" customHeight="1">
      <c r="A227" s="8"/>
      <c r="B227" s="8"/>
      <c r="C227" s="8"/>
      <c r="D227" s="8"/>
      <c r="E227" s="8"/>
      <c r="F227" s="8"/>
    </row>
    <row r="228" ht="37.5" customHeight="1">
      <c r="A228" s="8"/>
      <c r="B228" s="8"/>
      <c r="C228" s="8"/>
      <c r="D228" s="8"/>
      <c r="E228" s="8"/>
      <c r="F228" s="8"/>
    </row>
    <row r="229" ht="37.5" customHeight="1">
      <c r="A229" s="8"/>
      <c r="B229" s="8"/>
      <c r="C229" s="8"/>
      <c r="D229" s="8"/>
      <c r="E229" s="8"/>
      <c r="F229" s="8"/>
    </row>
    <row r="230" ht="37.5" customHeight="1">
      <c r="A230" s="8"/>
      <c r="B230" s="8"/>
      <c r="C230" s="8"/>
      <c r="D230" s="8"/>
      <c r="E230" s="8"/>
      <c r="F230" s="8"/>
    </row>
    <row r="231" ht="37.5" customHeight="1">
      <c r="A231" s="8"/>
      <c r="B231" s="8"/>
      <c r="C231" s="8"/>
      <c r="D231" s="8"/>
      <c r="E231" s="8"/>
      <c r="F231" s="8"/>
    </row>
    <row r="232" ht="37.5" customHeight="1">
      <c r="A232" s="8"/>
      <c r="B232" s="8"/>
      <c r="C232" s="8"/>
      <c r="D232" s="8"/>
      <c r="E232" s="8"/>
      <c r="F232" s="8"/>
    </row>
    <row r="233" ht="37.5" customHeight="1">
      <c r="A233" s="8"/>
      <c r="B233" s="8"/>
      <c r="C233" s="8"/>
      <c r="D233" s="8"/>
      <c r="E233" s="8"/>
      <c r="F233" s="8"/>
    </row>
    <row r="234" ht="37.5" customHeight="1">
      <c r="A234" s="8"/>
      <c r="B234" s="8"/>
      <c r="C234" s="8"/>
      <c r="D234" s="8"/>
      <c r="E234" s="8"/>
      <c r="F234" s="8"/>
    </row>
    <row r="235" ht="37.5" customHeight="1">
      <c r="A235" s="8"/>
      <c r="B235" s="8"/>
      <c r="C235" s="8"/>
      <c r="D235" s="8"/>
      <c r="E235" s="8"/>
      <c r="F235" s="8"/>
    </row>
    <row r="236" ht="37.5" customHeight="1">
      <c r="A236" s="8"/>
      <c r="B236" s="8"/>
      <c r="C236" s="8"/>
      <c r="D236" s="8"/>
      <c r="E236" s="8"/>
      <c r="F236" s="8"/>
    </row>
    <row r="237" ht="37.5" customHeight="1">
      <c r="A237" s="8"/>
      <c r="B237" s="8"/>
      <c r="C237" s="8"/>
      <c r="D237" s="8"/>
      <c r="E237" s="8"/>
      <c r="F237" s="8"/>
    </row>
    <row r="238" ht="37.5" customHeight="1">
      <c r="A238" s="8"/>
      <c r="B238" s="8"/>
      <c r="C238" s="8"/>
      <c r="D238" s="8"/>
      <c r="E238" s="8"/>
      <c r="F238" s="8"/>
    </row>
    <row r="239" ht="37.5" customHeight="1">
      <c r="A239" s="8"/>
      <c r="B239" s="8"/>
      <c r="C239" s="8"/>
      <c r="D239" s="8"/>
      <c r="E239" s="8"/>
      <c r="F239" s="8"/>
    </row>
    <row r="240" ht="37.5" customHeight="1">
      <c r="A240" s="8"/>
      <c r="B240" s="8"/>
      <c r="C240" s="8"/>
      <c r="D240" s="8"/>
      <c r="E240" s="8"/>
      <c r="F240" s="8"/>
    </row>
    <row r="241" ht="37.5" customHeight="1">
      <c r="A241" s="8"/>
      <c r="B241" s="8"/>
      <c r="C241" s="8"/>
      <c r="D241" s="8"/>
      <c r="E241" s="8"/>
      <c r="F241" s="8"/>
    </row>
    <row r="242" ht="37.5" customHeight="1">
      <c r="A242" s="8"/>
      <c r="B242" s="8"/>
      <c r="C242" s="8"/>
      <c r="D242" s="8"/>
      <c r="E242" s="8"/>
      <c r="F242" s="8"/>
    </row>
    <row r="243" ht="37.5" customHeight="1">
      <c r="A243" s="8"/>
      <c r="B243" s="8"/>
      <c r="C243" s="8"/>
      <c r="D243" s="8"/>
      <c r="E243" s="8"/>
      <c r="F243" s="8"/>
    </row>
    <row r="244" ht="37.5" customHeight="1">
      <c r="A244" s="8"/>
      <c r="B244" s="8"/>
      <c r="C244" s="8"/>
      <c r="D244" s="8"/>
      <c r="E244" s="8"/>
      <c r="F244" s="8"/>
    </row>
    <row r="245" ht="37.5" customHeight="1">
      <c r="A245" s="8"/>
      <c r="B245" s="8"/>
      <c r="C245" s="8"/>
      <c r="D245" s="8"/>
      <c r="E245" s="8"/>
      <c r="F245" s="8"/>
    </row>
    <row r="246" ht="37.5" customHeight="1">
      <c r="A246" s="8"/>
      <c r="B246" s="8"/>
      <c r="C246" s="8"/>
      <c r="D246" s="8"/>
      <c r="E246" s="8"/>
      <c r="F246" s="8"/>
    </row>
    <row r="247" ht="37.5" customHeight="1">
      <c r="A247" s="8"/>
      <c r="B247" s="8"/>
      <c r="C247" s="8"/>
      <c r="D247" s="8"/>
      <c r="E247" s="8"/>
      <c r="F247" s="8"/>
    </row>
    <row r="248" ht="37.5" customHeight="1">
      <c r="A248" s="8"/>
      <c r="B248" s="8"/>
      <c r="C248" s="8"/>
      <c r="D248" s="8"/>
      <c r="E248" s="8"/>
      <c r="F248" s="8"/>
    </row>
    <row r="249" ht="37.5" customHeight="1">
      <c r="A249" s="8"/>
      <c r="B249" s="8"/>
      <c r="C249" s="8"/>
      <c r="D249" s="8"/>
      <c r="E249" s="8"/>
      <c r="F249" s="8"/>
    </row>
    <row r="250" ht="37.5" customHeight="1">
      <c r="A250" s="8"/>
      <c r="B250" s="8"/>
      <c r="C250" s="8"/>
      <c r="D250" s="8"/>
      <c r="E250" s="8"/>
      <c r="F250" s="8"/>
    </row>
    <row r="251" ht="37.5" customHeight="1">
      <c r="A251" s="8"/>
      <c r="B251" s="8"/>
      <c r="C251" s="8"/>
      <c r="D251" s="8"/>
      <c r="E251" s="8"/>
      <c r="F251" s="8"/>
    </row>
    <row r="252" ht="37.5" customHeight="1">
      <c r="A252" s="8"/>
      <c r="B252" s="8"/>
      <c r="C252" s="8"/>
      <c r="D252" s="8"/>
      <c r="E252" s="8"/>
      <c r="F252" s="8"/>
    </row>
    <row r="253" ht="37.5" customHeight="1">
      <c r="A253" s="8"/>
      <c r="B253" s="8"/>
      <c r="C253" s="8"/>
      <c r="D253" s="8"/>
      <c r="E253" s="8"/>
      <c r="F253" s="8"/>
    </row>
    <row r="254" ht="37.5" customHeight="1">
      <c r="A254" s="8"/>
      <c r="B254" s="8"/>
      <c r="C254" s="8"/>
      <c r="D254" s="8"/>
      <c r="E254" s="8"/>
      <c r="F254" s="8"/>
    </row>
    <row r="255" ht="37.5" customHeight="1">
      <c r="A255" s="8"/>
      <c r="B255" s="8"/>
      <c r="C255" s="8"/>
      <c r="D255" s="8"/>
      <c r="E255" s="8"/>
      <c r="F255" s="8"/>
    </row>
    <row r="256" ht="37.5" customHeight="1">
      <c r="A256" s="8"/>
      <c r="B256" s="8"/>
      <c r="C256" s="8"/>
      <c r="D256" s="8"/>
      <c r="E256" s="8"/>
      <c r="F256" s="8"/>
    </row>
    <row r="257" ht="37.5" customHeight="1">
      <c r="A257" s="8"/>
      <c r="B257" s="8"/>
      <c r="C257" s="8"/>
      <c r="D257" s="8"/>
      <c r="E257" s="8"/>
      <c r="F257" s="8"/>
    </row>
    <row r="258" ht="37.5" customHeight="1">
      <c r="A258" s="8"/>
      <c r="B258" s="8"/>
      <c r="C258" s="8"/>
      <c r="D258" s="8"/>
      <c r="E258" s="8"/>
      <c r="F258" s="8"/>
    </row>
    <row r="259" ht="37.5" customHeight="1">
      <c r="A259" s="8"/>
      <c r="B259" s="8"/>
      <c r="C259" s="8"/>
      <c r="D259" s="8"/>
      <c r="E259" s="8"/>
      <c r="F259" s="8"/>
    </row>
    <row r="260" ht="37.5" customHeight="1">
      <c r="A260" s="8"/>
      <c r="B260" s="8"/>
      <c r="C260" s="8"/>
      <c r="D260" s="8"/>
      <c r="E260" s="8"/>
      <c r="F260" s="8"/>
    </row>
    <row r="261" ht="37.5" customHeight="1">
      <c r="A261" s="8"/>
      <c r="B261" s="8"/>
      <c r="C261" s="8"/>
      <c r="D261" s="8"/>
      <c r="E261" s="8"/>
      <c r="F261" s="8"/>
    </row>
    <row r="262" ht="37.5" customHeight="1">
      <c r="A262" s="8"/>
      <c r="B262" s="8"/>
      <c r="C262" s="8"/>
      <c r="D262" s="8"/>
      <c r="E262" s="8"/>
      <c r="F262" s="8"/>
    </row>
    <row r="263" ht="37.5" customHeight="1">
      <c r="A263" s="8"/>
      <c r="B263" s="8"/>
      <c r="C263" s="8"/>
      <c r="D263" s="8"/>
      <c r="E263" s="8"/>
      <c r="F263" s="8"/>
    </row>
    <row r="264" ht="37.5" customHeight="1">
      <c r="A264" s="8"/>
      <c r="B264" s="8"/>
      <c r="C264" s="8"/>
      <c r="D264" s="8"/>
      <c r="E264" s="8"/>
      <c r="F264" s="8"/>
    </row>
    <row r="265" ht="37.5" customHeight="1">
      <c r="A265" s="8"/>
      <c r="B265" s="8"/>
      <c r="C265" s="8"/>
      <c r="D265" s="8"/>
      <c r="E265" s="8"/>
      <c r="F265" s="8"/>
    </row>
    <row r="266" ht="37.5" customHeight="1">
      <c r="A266" s="8"/>
      <c r="B266" s="8"/>
      <c r="C266" s="8"/>
      <c r="D266" s="8"/>
      <c r="E266" s="8"/>
      <c r="F266" s="8"/>
    </row>
    <row r="267" ht="37.5" customHeight="1">
      <c r="A267" s="8"/>
      <c r="B267" s="8"/>
      <c r="C267" s="8"/>
      <c r="D267" s="8"/>
      <c r="E267" s="8"/>
      <c r="F267" s="8"/>
    </row>
    <row r="268" ht="37.5" customHeight="1">
      <c r="A268" s="8"/>
      <c r="B268" s="8"/>
      <c r="C268" s="8"/>
      <c r="D268" s="8"/>
      <c r="E268" s="8"/>
      <c r="F268" s="8"/>
    </row>
    <row r="269" ht="37.5" customHeight="1">
      <c r="A269" s="8"/>
      <c r="B269" s="8"/>
      <c r="C269" s="8"/>
      <c r="D269" s="8"/>
      <c r="E269" s="8"/>
      <c r="F269" s="8"/>
    </row>
    <row r="270" ht="37.5" customHeight="1">
      <c r="A270" s="8"/>
      <c r="B270" s="8"/>
      <c r="C270" s="8"/>
      <c r="D270" s="8"/>
      <c r="E270" s="8"/>
      <c r="F270" s="8"/>
    </row>
    <row r="271" ht="37.5" customHeight="1">
      <c r="A271" s="8"/>
      <c r="B271" s="8"/>
      <c r="C271" s="8"/>
      <c r="D271" s="8"/>
      <c r="E271" s="8"/>
      <c r="F271" s="8"/>
    </row>
    <row r="272" ht="37.5" customHeight="1">
      <c r="A272" s="8"/>
      <c r="B272" s="8"/>
      <c r="C272" s="8"/>
      <c r="D272" s="8"/>
      <c r="E272" s="8"/>
      <c r="F272" s="8"/>
    </row>
    <row r="273" ht="37.5" customHeight="1">
      <c r="A273" s="8"/>
      <c r="B273" s="8"/>
      <c r="C273" s="8"/>
      <c r="D273" s="8"/>
      <c r="E273" s="8"/>
      <c r="F273" s="8"/>
    </row>
    <row r="274" ht="37.5" customHeight="1">
      <c r="A274" s="8"/>
      <c r="B274" s="8"/>
      <c r="C274" s="8"/>
      <c r="D274" s="8"/>
      <c r="E274" s="8"/>
      <c r="F274" s="8"/>
    </row>
    <row r="275" ht="37.5" customHeight="1">
      <c r="A275" s="8"/>
      <c r="B275" s="8"/>
      <c r="C275" s="8"/>
      <c r="D275" s="8"/>
      <c r="E275" s="8"/>
      <c r="F275" s="8"/>
    </row>
    <row r="276" ht="37.5" customHeight="1">
      <c r="A276" s="8"/>
      <c r="B276" s="8"/>
      <c r="C276" s="8"/>
      <c r="D276" s="8"/>
      <c r="E276" s="8"/>
      <c r="F276" s="8"/>
    </row>
    <row r="277" ht="37.5" customHeight="1">
      <c r="A277" s="8"/>
      <c r="B277" s="8"/>
      <c r="C277" s="8"/>
      <c r="D277" s="8"/>
      <c r="E277" s="8"/>
      <c r="F277" s="8"/>
    </row>
    <row r="278" ht="37.5" customHeight="1">
      <c r="A278" s="8"/>
      <c r="B278" s="8"/>
      <c r="C278" s="8"/>
      <c r="D278" s="8"/>
      <c r="E278" s="8"/>
      <c r="F278" s="8"/>
    </row>
    <row r="279" ht="37.5" customHeight="1">
      <c r="A279" s="8"/>
      <c r="B279" s="8"/>
      <c r="C279" s="8"/>
      <c r="D279" s="8"/>
      <c r="E279" s="8"/>
      <c r="F279" s="8"/>
    </row>
    <row r="280" ht="37.5" customHeight="1">
      <c r="A280" s="8"/>
      <c r="B280" s="8"/>
      <c r="C280" s="8"/>
      <c r="D280" s="8"/>
      <c r="E280" s="8"/>
      <c r="F280" s="8"/>
    </row>
    <row r="281" ht="37.5" customHeight="1">
      <c r="A281" s="8"/>
      <c r="B281" s="8"/>
      <c r="C281" s="8"/>
      <c r="D281" s="8"/>
      <c r="E281" s="8"/>
      <c r="F281" s="8"/>
    </row>
    <row r="282" ht="37.5" customHeight="1">
      <c r="A282" s="8"/>
      <c r="B282" s="8"/>
      <c r="C282" s="8"/>
      <c r="D282" s="8"/>
      <c r="E282" s="8"/>
      <c r="F282" s="8"/>
    </row>
    <row r="283" ht="37.5" customHeight="1">
      <c r="A283" s="8"/>
      <c r="B283" s="8"/>
      <c r="C283" s="8"/>
      <c r="D283" s="8"/>
      <c r="E283" s="8"/>
      <c r="F283" s="8"/>
    </row>
    <row r="284" ht="37.5" customHeight="1">
      <c r="A284" s="8"/>
      <c r="B284" s="8"/>
      <c r="C284" s="8"/>
      <c r="D284" s="8"/>
      <c r="E284" s="8"/>
      <c r="F284" s="8"/>
    </row>
    <row r="285" ht="37.5" customHeight="1">
      <c r="A285" s="8"/>
      <c r="B285" s="8"/>
      <c r="C285" s="8"/>
      <c r="D285" s="8"/>
      <c r="E285" s="8"/>
      <c r="F285" s="8"/>
    </row>
    <row r="286" ht="37.5" customHeight="1">
      <c r="A286" s="8"/>
      <c r="B286" s="8"/>
      <c r="C286" s="8"/>
      <c r="D286" s="8"/>
      <c r="E286" s="8"/>
      <c r="F286" s="8"/>
    </row>
    <row r="287" ht="37.5" customHeight="1">
      <c r="A287" s="8"/>
      <c r="B287" s="8"/>
      <c r="C287" s="8"/>
      <c r="D287" s="8"/>
      <c r="E287" s="8"/>
      <c r="F287" s="8"/>
    </row>
    <row r="288" ht="37.5" customHeight="1">
      <c r="A288" s="8"/>
      <c r="B288" s="8"/>
      <c r="C288" s="8"/>
      <c r="D288" s="8"/>
      <c r="E288" s="8"/>
      <c r="F288" s="8"/>
    </row>
    <row r="289" ht="37.5" customHeight="1">
      <c r="A289" s="8"/>
      <c r="B289" s="8"/>
      <c r="C289" s="8"/>
      <c r="D289" s="8"/>
      <c r="E289" s="8"/>
      <c r="F289" s="8"/>
    </row>
    <row r="290" ht="37.5" customHeight="1">
      <c r="A290" s="8"/>
      <c r="B290" s="8"/>
      <c r="C290" s="8"/>
      <c r="D290" s="8"/>
      <c r="E290" s="8"/>
      <c r="F290" s="8"/>
    </row>
    <row r="291" ht="37.5" customHeight="1">
      <c r="A291" s="8"/>
      <c r="B291" s="8"/>
      <c r="C291" s="8"/>
      <c r="D291" s="8"/>
      <c r="E291" s="8"/>
      <c r="F291" s="8"/>
    </row>
    <row r="292" ht="37.5" customHeight="1">
      <c r="A292" s="8"/>
      <c r="B292" s="8"/>
      <c r="C292" s="8"/>
      <c r="D292" s="8"/>
      <c r="E292" s="8"/>
      <c r="F292" s="8"/>
    </row>
    <row r="293" ht="37.5" customHeight="1">
      <c r="A293" s="8"/>
      <c r="B293" s="8"/>
      <c r="C293" s="8"/>
      <c r="D293" s="8"/>
      <c r="E293" s="8"/>
      <c r="F293" s="8"/>
    </row>
    <row r="294" ht="37.5" customHeight="1">
      <c r="A294" s="8"/>
      <c r="B294" s="8"/>
      <c r="C294" s="8"/>
      <c r="D294" s="8"/>
      <c r="E294" s="8"/>
      <c r="F294" s="8"/>
    </row>
    <row r="295" ht="37.5" customHeight="1">
      <c r="A295" s="8"/>
      <c r="B295" s="8"/>
      <c r="C295" s="8"/>
      <c r="D295" s="8"/>
      <c r="E295" s="8"/>
      <c r="F295" s="8"/>
    </row>
    <row r="296" ht="37.5" customHeight="1">
      <c r="A296" s="8"/>
      <c r="B296" s="8"/>
      <c r="C296" s="8"/>
      <c r="D296" s="8"/>
      <c r="E296" s="8"/>
      <c r="F296" s="8"/>
    </row>
    <row r="297" ht="37.5" customHeight="1">
      <c r="A297" s="8"/>
      <c r="B297" s="8"/>
      <c r="C297" s="8"/>
      <c r="D297" s="8"/>
      <c r="E297" s="8"/>
      <c r="F297" s="8"/>
    </row>
    <row r="298" ht="37.5" customHeight="1">
      <c r="A298" s="8"/>
      <c r="B298" s="8"/>
      <c r="C298" s="8"/>
      <c r="D298" s="8"/>
      <c r="E298" s="8"/>
      <c r="F298" s="8"/>
    </row>
    <row r="299" ht="37.5" customHeight="1">
      <c r="A299" s="8"/>
      <c r="B299" s="8"/>
      <c r="C299" s="8"/>
      <c r="D299" s="8"/>
      <c r="E299" s="8"/>
      <c r="F299" s="8"/>
    </row>
    <row r="300" ht="37.5" customHeight="1">
      <c r="A300" s="8"/>
      <c r="B300" s="8"/>
      <c r="C300" s="8"/>
      <c r="D300" s="8"/>
      <c r="E300" s="8"/>
      <c r="F300" s="8"/>
    </row>
    <row r="301" ht="37.5" customHeight="1">
      <c r="A301" s="8"/>
      <c r="B301" s="8"/>
      <c r="C301" s="8"/>
      <c r="D301" s="8"/>
      <c r="E301" s="8"/>
      <c r="F301" s="8"/>
    </row>
    <row r="302" ht="37.5" customHeight="1">
      <c r="A302" s="8"/>
      <c r="B302" s="8"/>
      <c r="C302" s="8"/>
      <c r="D302" s="8"/>
      <c r="E302" s="8"/>
      <c r="F302" s="8"/>
    </row>
    <row r="303" ht="37.5" customHeight="1">
      <c r="A303" s="8"/>
      <c r="B303" s="8"/>
      <c r="C303" s="8"/>
      <c r="D303" s="8"/>
      <c r="E303" s="8"/>
      <c r="F303" s="8"/>
    </row>
    <row r="304" ht="37.5" customHeight="1">
      <c r="A304" s="8"/>
      <c r="B304" s="8"/>
      <c r="C304" s="8"/>
      <c r="D304" s="8"/>
      <c r="E304" s="8"/>
      <c r="F304" s="8"/>
    </row>
    <row r="305" ht="37.5" customHeight="1">
      <c r="A305" s="8"/>
      <c r="B305" s="8"/>
      <c r="C305" s="8"/>
      <c r="D305" s="8"/>
      <c r="E305" s="8"/>
      <c r="F305" s="8"/>
    </row>
    <row r="306" ht="37.5" customHeight="1">
      <c r="A306" s="8"/>
      <c r="B306" s="8"/>
      <c r="C306" s="8"/>
      <c r="D306" s="8"/>
      <c r="E306" s="8"/>
      <c r="F306" s="8"/>
    </row>
    <row r="307" ht="37.5" customHeight="1">
      <c r="A307" s="8"/>
      <c r="B307" s="8"/>
      <c r="C307" s="8"/>
      <c r="D307" s="8"/>
      <c r="E307" s="8"/>
      <c r="F307" s="8"/>
    </row>
    <row r="308" ht="37.5" customHeight="1">
      <c r="A308" s="8"/>
      <c r="B308" s="8"/>
      <c r="C308" s="8"/>
      <c r="D308" s="8"/>
      <c r="E308" s="8"/>
      <c r="F308" s="8"/>
    </row>
    <row r="309" ht="37.5" customHeight="1">
      <c r="A309" s="8"/>
      <c r="B309" s="8"/>
      <c r="C309" s="8"/>
      <c r="D309" s="8"/>
      <c r="E309" s="8"/>
      <c r="F309" s="8"/>
    </row>
    <row r="310" ht="37.5" customHeight="1">
      <c r="A310" s="8"/>
      <c r="B310" s="8"/>
      <c r="C310" s="8"/>
      <c r="D310" s="8"/>
      <c r="E310" s="8"/>
      <c r="F310" s="8"/>
    </row>
    <row r="311" ht="37.5" customHeight="1">
      <c r="A311" s="8"/>
      <c r="B311" s="8"/>
      <c r="C311" s="8"/>
      <c r="D311" s="8"/>
      <c r="E311" s="8"/>
      <c r="F311" s="8"/>
    </row>
    <row r="312" ht="37.5" customHeight="1">
      <c r="A312" s="8"/>
      <c r="B312" s="8"/>
      <c r="C312" s="8"/>
      <c r="D312" s="8"/>
      <c r="E312" s="8"/>
      <c r="F312" s="8"/>
    </row>
    <row r="313" ht="37.5" customHeight="1">
      <c r="A313" s="8"/>
      <c r="B313" s="8"/>
      <c r="C313" s="8"/>
      <c r="D313" s="8"/>
      <c r="E313" s="8"/>
      <c r="F313" s="8"/>
    </row>
    <row r="314" ht="37.5" customHeight="1">
      <c r="A314" s="8"/>
      <c r="B314" s="8"/>
      <c r="C314" s="8"/>
      <c r="D314" s="8"/>
      <c r="E314" s="8"/>
      <c r="F314" s="8"/>
    </row>
    <row r="315" ht="37.5" customHeight="1">
      <c r="A315" s="8"/>
      <c r="B315" s="8"/>
      <c r="C315" s="8"/>
      <c r="D315" s="8"/>
      <c r="E315" s="8"/>
      <c r="F315" s="8"/>
    </row>
    <row r="316" ht="37.5" customHeight="1">
      <c r="A316" s="8"/>
      <c r="B316" s="8"/>
      <c r="C316" s="8"/>
      <c r="D316" s="8"/>
      <c r="E316" s="8"/>
      <c r="F316" s="8"/>
    </row>
    <row r="317" ht="37.5" customHeight="1">
      <c r="A317" s="8"/>
      <c r="B317" s="8"/>
      <c r="C317" s="8"/>
      <c r="D317" s="8"/>
      <c r="E317" s="8"/>
      <c r="F317" s="8"/>
    </row>
    <row r="318" ht="37.5" customHeight="1">
      <c r="A318" s="8"/>
      <c r="B318" s="8"/>
      <c r="C318" s="8"/>
      <c r="D318" s="8"/>
      <c r="E318" s="8"/>
      <c r="F318" s="8"/>
    </row>
    <row r="319" ht="37.5" customHeight="1">
      <c r="A319" s="8"/>
      <c r="B319" s="8"/>
      <c r="C319" s="8"/>
      <c r="D319" s="8"/>
      <c r="E319" s="8"/>
      <c r="F319" s="8"/>
    </row>
    <row r="320" ht="37.5" customHeight="1">
      <c r="A320" s="8"/>
      <c r="B320" s="8"/>
      <c r="C320" s="8"/>
      <c r="D320" s="8"/>
      <c r="E320" s="8"/>
      <c r="F320" s="8"/>
    </row>
    <row r="321" ht="37.5" customHeight="1">
      <c r="A321" s="8"/>
      <c r="B321" s="8"/>
      <c r="C321" s="8"/>
      <c r="D321" s="8"/>
      <c r="E321" s="8"/>
      <c r="F321" s="8"/>
    </row>
    <row r="322" ht="37.5" customHeight="1">
      <c r="A322" s="8"/>
      <c r="B322" s="8"/>
      <c r="C322" s="8"/>
      <c r="D322" s="8"/>
      <c r="E322" s="8"/>
      <c r="F322" s="8"/>
    </row>
    <row r="323" ht="37.5" customHeight="1">
      <c r="A323" s="8"/>
      <c r="B323" s="8"/>
      <c r="C323" s="8"/>
      <c r="D323" s="8"/>
      <c r="E323" s="8"/>
      <c r="F323" s="8"/>
    </row>
    <row r="324" ht="37.5" customHeight="1">
      <c r="A324" s="8"/>
      <c r="B324" s="8"/>
      <c r="C324" s="8"/>
      <c r="D324" s="8"/>
      <c r="E324" s="8"/>
      <c r="F324" s="8"/>
    </row>
    <row r="325" ht="37.5" customHeight="1">
      <c r="A325" s="8"/>
      <c r="B325" s="8"/>
      <c r="C325" s="8"/>
      <c r="D325" s="8"/>
      <c r="E325" s="8"/>
      <c r="F325" s="8"/>
    </row>
    <row r="326" ht="37.5" customHeight="1">
      <c r="A326" s="8"/>
      <c r="B326" s="8"/>
      <c r="C326" s="8"/>
      <c r="D326" s="8"/>
      <c r="E326" s="8"/>
      <c r="F326" s="8"/>
    </row>
    <row r="327" ht="37.5" customHeight="1">
      <c r="A327" s="8"/>
      <c r="B327" s="8"/>
      <c r="C327" s="8"/>
      <c r="D327" s="8"/>
      <c r="E327" s="8"/>
      <c r="F327" s="8"/>
    </row>
    <row r="328" ht="37.5" customHeight="1">
      <c r="A328" s="8"/>
      <c r="B328" s="8"/>
      <c r="C328" s="8"/>
      <c r="D328" s="8"/>
      <c r="E328" s="8"/>
      <c r="F328" s="8"/>
    </row>
    <row r="329" ht="37.5" customHeight="1">
      <c r="A329" s="8"/>
      <c r="B329" s="8"/>
      <c r="C329" s="8"/>
      <c r="D329" s="8"/>
      <c r="E329" s="8"/>
      <c r="F329" s="8"/>
    </row>
    <row r="330" ht="37.5" customHeight="1">
      <c r="A330" s="8"/>
      <c r="B330" s="8"/>
      <c r="C330" s="8"/>
      <c r="D330" s="8"/>
      <c r="E330" s="8"/>
      <c r="F330" s="8"/>
    </row>
    <row r="331" ht="37.5" customHeight="1">
      <c r="A331" s="8"/>
      <c r="B331" s="8"/>
      <c r="C331" s="8"/>
      <c r="D331" s="8"/>
      <c r="E331" s="8"/>
      <c r="F331" s="8"/>
    </row>
    <row r="332" ht="37.5" customHeight="1">
      <c r="A332" s="8"/>
      <c r="B332" s="8"/>
      <c r="C332" s="8"/>
      <c r="D332" s="8"/>
      <c r="E332" s="8"/>
      <c r="F332" s="8"/>
    </row>
    <row r="333" ht="37.5" customHeight="1">
      <c r="A333" s="8"/>
      <c r="B333" s="8"/>
      <c r="C333" s="8"/>
      <c r="D333" s="8"/>
      <c r="E333" s="8"/>
      <c r="F333" s="8"/>
    </row>
    <row r="334" ht="37.5" customHeight="1">
      <c r="A334" s="8"/>
      <c r="B334" s="8"/>
      <c r="C334" s="8"/>
      <c r="D334" s="8"/>
      <c r="E334" s="8"/>
      <c r="F334" s="8"/>
    </row>
    <row r="335" ht="37.5" customHeight="1">
      <c r="A335" s="8"/>
      <c r="B335" s="8"/>
      <c r="C335" s="8"/>
      <c r="D335" s="8"/>
      <c r="E335" s="8"/>
      <c r="F335" s="8"/>
    </row>
    <row r="336" ht="37.5" customHeight="1">
      <c r="A336" s="8"/>
      <c r="B336" s="8"/>
      <c r="C336" s="8"/>
      <c r="D336" s="8"/>
      <c r="E336" s="8"/>
      <c r="F336" s="8"/>
    </row>
    <row r="337" ht="37.5" customHeight="1">
      <c r="A337" s="8"/>
      <c r="B337" s="8"/>
      <c r="C337" s="8"/>
      <c r="D337" s="8"/>
      <c r="E337" s="8"/>
      <c r="F337" s="8"/>
    </row>
    <row r="338" ht="37.5" customHeight="1">
      <c r="A338" s="8"/>
      <c r="B338" s="8"/>
      <c r="C338" s="8"/>
      <c r="D338" s="8"/>
      <c r="E338" s="8"/>
      <c r="F338" s="8"/>
    </row>
    <row r="339" ht="37.5" customHeight="1">
      <c r="A339" s="8"/>
      <c r="B339" s="8"/>
      <c r="C339" s="8"/>
      <c r="D339" s="8"/>
      <c r="E339" s="8"/>
      <c r="F339" s="8"/>
    </row>
    <row r="340" ht="37.5" customHeight="1">
      <c r="A340" s="8"/>
      <c r="B340" s="8"/>
      <c r="C340" s="8"/>
      <c r="D340" s="8"/>
      <c r="E340" s="8"/>
      <c r="F340" s="8"/>
    </row>
    <row r="341" ht="37.5" customHeight="1">
      <c r="A341" s="8"/>
      <c r="B341" s="8"/>
      <c r="C341" s="8"/>
      <c r="D341" s="8"/>
      <c r="E341" s="8"/>
      <c r="F341" s="8"/>
    </row>
    <row r="342" ht="37.5" customHeight="1">
      <c r="A342" s="8"/>
      <c r="B342" s="8"/>
      <c r="C342" s="8"/>
      <c r="D342" s="8"/>
      <c r="E342" s="8"/>
      <c r="F342" s="8"/>
    </row>
    <row r="343" ht="37.5" customHeight="1">
      <c r="A343" s="8"/>
      <c r="B343" s="8"/>
      <c r="C343" s="8"/>
      <c r="D343" s="8"/>
      <c r="E343" s="8"/>
      <c r="F343" s="8"/>
    </row>
    <row r="344" ht="37.5" customHeight="1">
      <c r="A344" s="8"/>
      <c r="B344" s="8"/>
      <c r="C344" s="8"/>
      <c r="D344" s="8"/>
      <c r="E344" s="8"/>
      <c r="F344" s="8"/>
    </row>
    <row r="345" ht="37.5" customHeight="1">
      <c r="A345" s="8"/>
      <c r="B345" s="8"/>
      <c r="C345" s="8"/>
      <c r="D345" s="8"/>
      <c r="E345" s="8"/>
      <c r="F345" s="8"/>
    </row>
    <row r="346" ht="37.5" customHeight="1">
      <c r="A346" s="8"/>
      <c r="B346" s="8"/>
      <c r="C346" s="8"/>
      <c r="D346" s="8"/>
      <c r="E346" s="8"/>
      <c r="F346" s="8"/>
    </row>
    <row r="347" ht="37.5" customHeight="1">
      <c r="A347" s="8"/>
      <c r="B347" s="8"/>
      <c r="C347" s="8"/>
      <c r="D347" s="8"/>
      <c r="E347" s="8"/>
      <c r="F347" s="8"/>
    </row>
    <row r="348" ht="37.5" customHeight="1">
      <c r="A348" s="8"/>
      <c r="B348" s="8"/>
      <c r="C348" s="8"/>
      <c r="D348" s="8"/>
      <c r="E348" s="8"/>
      <c r="F348" s="8"/>
    </row>
    <row r="349" ht="37.5" customHeight="1">
      <c r="A349" s="8"/>
      <c r="B349" s="8"/>
      <c r="C349" s="8"/>
      <c r="D349" s="8"/>
      <c r="E349" s="8"/>
      <c r="F349" s="8"/>
    </row>
    <row r="350" ht="37.5" customHeight="1">
      <c r="A350" s="8"/>
      <c r="B350" s="8"/>
      <c r="C350" s="8"/>
      <c r="D350" s="8"/>
      <c r="E350" s="8"/>
      <c r="F350" s="8"/>
    </row>
    <row r="351" ht="37.5" customHeight="1">
      <c r="A351" s="8"/>
      <c r="B351" s="8"/>
      <c r="C351" s="8"/>
      <c r="D351" s="8"/>
      <c r="E351" s="8"/>
      <c r="F351" s="8"/>
    </row>
    <row r="352" ht="37.5" customHeight="1">
      <c r="A352" s="8"/>
      <c r="B352" s="8"/>
      <c r="C352" s="8"/>
      <c r="D352" s="8"/>
      <c r="E352" s="8"/>
      <c r="F352" s="8"/>
    </row>
    <row r="353" ht="37.5" customHeight="1">
      <c r="A353" s="8"/>
      <c r="B353" s="8"/>
      <c r="C353" s="8"/>
      <c r="D353" s="8"/>
      <c r="E353" s="8"/>
      <c r="F353" s="8"/>
    </row>
    <row r="354" ht="37.5" customHeight="1">
      <c r="A354" s="8"/>
      <c r="B354" s="8"/>
      <c r="C354" s="8"/>
      <c r="D354" s="8"/>
      <c r="E354" s="8"/>
      <c r="F354" s="8"/>
    </row>
    <row r="355" ht="37.5" customHeight="1">
      <c r="A355" s="8"/>
      <c r="B355" s="8"/>
      <c r="C355" s="8"/>
      <c r="D355" s="8"/>
      <c r="E355" s="8"/>
      <c r="F355" s="8"/>
    </row>
    <row r="356" ht="37.5" customHeight="1">
      <c r="A356" s="8"/>
      <c r="B356" s="8"/>
      <c r="C356" s="8"/>
      <c r="D356" s="8"/>
      <c r="E356" s="8"/>
      <c r="F356" s="8"/>
    </row>
    <row r="357" ht="37.5" customHeight="1">
      <c r="A357" s="8"/>
      <c r="B357" s="8"/>
      <c r="C357" s="8"/>
      <c r="D357" s="8"/>
      <c r="E357" s="8"/>
      <c r="F357" s="8"/>
    </row>
    <row r="358" ht="37.5" customHeight="1">
      <c r="A358" s="8"/>
      <c r="B358" s="8"/>
      <c r="C358" s="8"/>
      <c r="D358" s="8"/>
      <c r="E358" s="8"/>
      <c r="F358" s="8"/>
    </row>
    <row r="359" ht="37.5" customHeight="1">
      <c r="A359" s="8"/>
      <c r="B359" s="8"/>
      <c r="C359" s="8"/>
      <c r="D359" s="8"/>
      <c r="E359" s="8"/>
      <c r="F359" s="8"/>
    </row>
    <row r="360" ht="37.5" customHeight="1">
      <c r="A360" s="8"/>
      <c r="B360" s="8"/>
      <c r="C360" s="8"/>
      <c r="D360" s="8"/>
      <c r="E360" s="8"/>
      <c r="F360" s="8"/>
    </row>
    <row r="361" ht="37.5" customHeight="1">
      <c r="A361" s="8"/>
      <c r="B361" s="8"/>
      <c r="C361" s="8"/>
      <c r="D361" s="8"/>
      <c r="E361" s="8"/>
      <c r="F361" s="8"/>
    </row>
    <row r="362" ht="37.5" customHeight="1">
      <c r="A362" s="8"/>
      <c r="B362" s="8"/>
      <c r="C362" s="8"/>
      <c r="D362" s="8"/>
      <c r="E362" s="8"/>
      <c r="F362" s="8"/>
    </row>
    <row r="363" ht="37.5" customHeight="1">
      <c r="A363" s="8"/>
      <c r="B363" s="8"/>
      <c r="C363" s="8"/>
      <c r="D363" s="8"/>
      <c r="E363" s="8"/>
      <c r="F363" s="8"/>
    </row>
    <row r="364" ht="37.5" customHeight="1">
      <c r="A364" s="8"/>
      <c r="B364" s="8"/>
      <c r="C364" s="8"/>
      <c r="D364" s="8"/>
      <c r="E364" s="8"/>
      <c r="F364" s="8"/>
    </row>
    <row r="365" ht="37.5" customHeight="1">
      <c r="A365" s="8"/>
      <c r="B365" s="8"/>
      <c r="C365" s="8"/>
      <c r="D365" s="8"/>
      <c r="E365" s="8"/>
      <c r="F365" s="8"/>
    </row>
    <row r="366" ht="37.5" customHeight="1">
      <c r="A366" s="8"/>
      <c r="B366" s="8"/>
      <c r="C366" s="8"/>
      <c r="D366" s="8"/>
      <c r="E366" s="8"/>
      <c r="F366" s="8"/>
    </row>
    <row r="367" ht="37.5" customHeight="1">
      <c r="A367" s="8"/>
      <c r="B367" s="8"/>
      <c r="C367" s="8"/>
      <c r="D367" s="8"/>
      <c r="E367" s="8"/>
      <c r="F367" s="8"/>
    </row>
    <row r="368" ht="37.5" customHeight="1">
      <c r="A368" s="8"/>
      <c r="B368" s="8"/>
      <c r="C368" s="8"/>
      <c r="D368" s="8"/>
      <c r="E368" s="8"/>
      <c r="F368" s="8"/>
    </row>
    <row r="369" ht="37.5" customHeight="1">
      <c r="A369" s="8"/>
      <c r="B369" s="8"/>
      <c r="C369" s="8"/>
      <c r="D369" s="8"/>
      <c r="E369" s="8"/>
      <c r="F369" s="8"/>
    </row>
    <row r="370" ht="37.5" customHeight="1">
      <c r="A370" s="8"/>
      <c r="B370" s="8"/>
      <c r="C370" s="8"/>
      <c r="D370" s="8"/>
      <c r="E370" s="8"/>
      <c r="F370" s="8"/>
    </row>
    <row r="371" ht="37.5" customHeight="1">
      <c r="A371" s="8"/>
      <c r="B371" s="8"/>
      <c r="C371" s="8"/>
      <c r="D371" s="8"/>
      <c r="E371" s="8"/>
      <c r="F371" s="8"/>
    </row>
    <row r="372" ht="37.5" customHeight="1">
      <c r="A372" s="8"/>
      <c r="B372" s="8"/>
      <c r="C372" s="8"/>
      <c r="D372" s="8"/>
      <c r="E372" s="8"/>
      <c r="F372" s="8"/>
    </row>
    <row r="373" ht="37.5" customHeight="1">
      <c r="A373" s="8"/>
      <c r="B373" s="8"/>
      <c r="C373" s="8"/>
      <c r="D373" s="8"/>
      <c r="E373" s="8"/>
      <c r="F373" s="8"/>
    </row>
    <row r="374" ht="37.5" customHeight="1">
      <c r="A374" s="8"/>
      <c r="B374" s="8"/>
      <c r="C374" s="8"/>
      <c r="D374" s="8"/>
      <c r="E374" s="8"/>
      <c r="F374" s="8"/>
    </row>
    <row r="375" ht="37.5" customHeight="1">
      <c r="A375" s="8"/>
      <c r="B375" s="8"/>
      <c r="C375" s="8"/>
      <c r="D375" s="8"/>
      <c r="E375" s="8"/>
      <c r="F375" s="8"/>
    </row>
    <row r="376" ht="37.5" customHeight="1">
      <c r="A376" s="8"/>
      <c r="B376" s="8"/>
      <c r="C376" s="8"/>
      <c r="D376" s="8"/>
      <c r="E376" s="8"/>
      <c r="F376" s="8"/>
    </row>
    <row r="377" ht="37.5" customHeight="1">
      <c r="A377" s="8"/>
      <c r="B377" s="8"/>
      <c r="C377" s="8"/>
      <c r="D377" s="8"/>
      <c r="E377" s="8"/>
      <c r="F377" s="8"/>
    </row>
    <row r="378" ht="37.5" customHeight="1">
      <c r="A378" s="8"/>
      <c r="B378" s="8"/>
      <c r="C378" s="8"/>
      <c r="D378" s="8"/>
      <c r="E378" s="8"/>
      <c r="F378" s="8"/>
    </row>
    <row r="379" ht="37.5" customHeight="1">
      <c r="A379" s="8"/>
      <c r="B379" s="8"/>
      <c r="C379" s="8"/>
      <c r="D379" s="8"/>
      <c r="E379" s="8"/>
      <c r="F379" s="8"/>
    </row>
    <row r="380" ht="37.5" customHeight="1">
      <c r="A380" s="8"/>
      <c r="B380" s="8"/>
      <c r="C380" s="8"/>
      <c r="D380" s="8"/>
      <c r="E380" s="8"/>
      <c r="F380" s="8"/>
    </row>
    <row r="381" ht="37.5" customHeight="1">
      <c r="A381" s="8"/>
      <c r="B381" s="8"/>
      <c r="C381" s="8"/>
      <c r="D381" s="8"/>
      <c r="E381" s="8"/>
      <c r="F381" s="8"/>
    </row>
    <row r="382" ht="37.5" customHeight="1">
      <c r="A382" s="8"/>
      <c r="B382" s="8"/>
      <c r="C382" s="8"/>
      <c r="D382" s="8"/>
      <c r="E382" s="8"/>
      <c r="F382" s="8"/>
    </row>
    <row r="383" ht="37.5" customHeight="1">
      <c r="A383" s="8"/>
      <c r="B383" s="8"/>
      <c r="C383" s="8"/>
      <c r="D383" s="8"/>
      <c r="E383" s="8"/>
      <c r="F383" s="8"/>
    </row>
    <row r="384" ht="37.5" customHeight="1">
      <c r="A384" s="8"/>
      <c r="B384" s="8"/>
      <c r="C384" s="8"/>
      <c r="D384" s="8"/>
      <c r="E384" s="8"/>
      <c r="F384" s="8"/>
    </row>
    <row r="385" ht="37.5" customHeight="1">
      <c r="A385" s="8"/>
      <c r="B385" s="8"/>
      <c r="C385" s="8"/>
      <c r="D385" s="8"/>
      <c r="E385" s="8"/>
      <c r="F385" s="8"/>
    </row>
    <row r="386" ht="37.5" customHeight="1">
      <c r="A386" s="8"/>
      <c r="B386" s="8"/>
      <c r="C386" s="8"/>
      <c r="D386" s="8"/>
      <c r="E386" s="8"/>
      <c r="F386" s="8"/>
    </row>
    <row r="387" ht="37.5" customHeight="1">
      <c r="A387" s="8"/>
      <c r="B387" s="8"/>
      <c r="C387" s="8"/>
      <c r="D387" s="8"/>
      <c r="E387" s="8"/>
      <c r="F387" s="8"/>
    </row>
    <row r="388" ht="37.5" customHeight="1">
      <c r="A388" s="8"/>
      <c r="B388" s="8"/>
      <c r="C388" s="8"/>
      <c r="D388" s="8"/>
      <c r="E388" s="8"/>
      <c r="F388" s="8"/>
    </row>
    <row r="389" ht="37.5" customHeight="1">
      <c r="A389" s="8"/>
      <c r="B389" s="8"/>
      <c r="C389" s="8"/>
      <c r="D389" s="8"/>
      <c r="E389" s="8"/>
      <c r="F389" s="8"/>
    </row>
    <row r="390" ht="37.5" customHeight="1">
      <c r="A390" s="8"/>
      <c r="B390" s="8"/>
      <c r="C390" s="8"/>
      <c r="D390" s="8"/>
      <c r="E390" s="8"/>
      <c r="F390" s="8"/>
    </row>
    <row r="391" ht="37.5" customHeight="1">
      <c r="A391" s="8"/>
      <c r="B391" s="8"/>
      <c r="C391" s="8"/>
      <c r="D391" s="8"/>
      <c r="E391" s="8"/>
      <c r="F391" s="8"/>
    </row>
    <row r="392" ht="37.5" customHeight="1">
      <c r="A392" s="8"/>
      <c r="B392" s="8"/>
      <c r="C392" s="8"/>
      <c r="D392" s="8"/>
      <c r="E392" s="8"/>
      <c r="F392" s="8"/>
    </row>
    <row r="393" ht="37.5" customHeight="1">
      <c r="A393" s="8"/>
      <c r="B393" s="8"/>
      <c r="C393" s="8"/>
      <c r="D393" s="8"/>
      <c r="E393" s="8"/>
      <c r="F393" s="8"/>
    </row>
    <row r="394" ht="37.5" customHeight="1">
      <c r="A394" s="8"/>
      <c r="B394" s="8"/>
      <c r="C394" s="8"/>
      <c r="D394" s="8"/>
      <c r="E394" s="8"/>
      <c r="F394" s="8"/>
    </row>
    <row r="395" ht="37.5" customHeight="1">
      <c r="A395" s="8"/>
      <c r="B395" s="8"/>
      <c r="C395" s="8"/>
      <c r="D395" s="8"/>
      <c r="E395" s="8"/>
      <c r="F395" s="8"/>
    </row>
    <row r="396" ht="37.5" customHeight="1">
      <c r="A396" s="8"/>
      <c r="B396" s="8"/>
      <c r="C396" s="8"/>
      <c r="D396" s="8"/>
      <c r="E396" s="8"/>
      <c r="F396" s="8"/>
    </row>
    <row r="397" ht="37.5" customHeight="1">
      <c r="A397" s="8"/>
      <c r="B397" s="8"/>
      <c r="C397" s="8"/>
      <c r="D397" s="8"/>
      <c r="E397" s="8"/>
      <c r="F397" s="8"/>
    </row>
    <row r="398" ht="37.5" customHeight="1">
      <c r="A398" s="8"/>
      <c r="B398" s="8"/>
      <c r="C398" s="8"/>
      <c r="D398" s="8"/>
      <c r="E398" s="8"/>
      <c r="F398" s="8"/>
    </row>
    <row r="399" ht="37.5" customHeight="1">
      <c r="A399" s="8"/>
      <c r="B399" s="8"/>
      <c r="C399" s="8"/>
      <c r="D399" s="8"/>
      <c r="E399" s="8"/>
      <c r="F399" s="8"/>
    </row>
    <row r="400" ht="37.5" customHeight="1">
      <c r="A400" s="8"/>
      <c r="B400" s="8"/>
      <c r="C400" s="8"/>
      <c r="D400" s="8"/>
      <c r="E400" s="8"/>
      <c r="F400" s="8"/>
    </row>
    <row r="401" ht="37.5" customHeight="1">
      <c r="A401" s="8"/>
      <c r="B401" s="8"/>
      <c r="C401" s="8"/>
      <c r="D401" s="8"/>
      <c r="E401" s="8"/>
      <c r="F401" s="8"/>
    </row>
    <row r="402" ht="37.5" customHeight="1">
      <c r="A402" s="8"/>
      <c r="B402" s="8"/>
      <c r="C402" s="8"/>
      <c r="D402" s="8"/>
      <c r="E402" s="8"/>
      <c r="F402" s="8"/>
    </row>
    <row r="403" ht="37.5" customHeight="1">
      <c r="A403" s="8"/>
      <c r="B403" s="8"/>
      <c r="C403" s="8"/>
      <c r="D403" s="8"/>
      <c r="E403" s="8"/>
      <c r="F403" s="8"/>
    </row>
    <row r="404" ht="37.5" customHeight="1">
      <c r="A404" s="8"/>
      <c r="B404" s="8"/>
      <c r="C404" s="8"/>
      <c r="D404" s="8"/>
      <c r="E404" s="8"/>
      <c r="F404" s="8"/>
    </row>
    <row r="405" ht="37.5" customHeight="1">
      <c r="A405" s="8"/>
      <c r="B405" s="8"/>
      <c r="C405" s="8"/>
      <c r="D405" s="8"/>
      <c r="E405" s="8"/>
      <c r="F405" s="8"/>
    </row>
    <row r="406" ht="37.5" customHeight="1">
      <c r="A406" s="8"/>
      <c r="B406" s="8"/>
      <c r="C406" s="8"/>
      <c r="D406" s="8"/>
      <c r="E406" s="8"/>
      <c r="F406" s="8"/>
    </row>
    <row r="407" ht="37.5" customHeight="1">
      <c r="A407" s="8"/>
      <c r="B407" s="8"/>
      <c r="C407" s="8"/>
      <c r="D407" s="8"/>
      <c r="E407" s="8"/>
      <c r="F407" s="8"/>
    </row>
    <row r="408" ht="37.5" customHeight="1">
      <c r="A408" s="8"/>
      <c r="B408" s="8"/>
      <c r="C408" s="8"/>
      <c r="D408" s="8"/>
      <c r="E408" s="8"/>
      <c r="F408" s="8"/>
    </row>
    <row r="409" ht="37.5" customHeight="1">
      <c r="A409" s="8"/>
      <c r="B409" s="8"/>
      <c r="C409" s="8"/>
      <c r="D409" s="8"/>
      <c r="E409" s="8"/>
      <c r="F409" s="8"/>
    </row>
    <row r="410" ht="37.5" customHeight="1">
      <c r="A410" s="8"/>
      <c r="B410" s="8"/>
      <c r="C410" s="8"/>
      <c r="D410" s="8"/>
      <c r="E410" s="8"/>
      <c r="F410" s="8"/>
    </row>
    <row r="411" ht="37.5" customHeight="1">
      <c r="A411" s="8"/>
      <c r="B411" s="8"/>
      <c r="C411" s="8"/>
      <c r="D411" s="8"/>
      <c r="E411" s="8"/>
      <c r="F411" s="8"/>
    </row>
    <row r="412" ht="37.5" customHeight="1">
      <c r="A412" s="8"/>
      <c r="B412" s="8"/>
      <c r="C412" s="8"/>
      <c r="D412" s="8"/>
      <c r="E412" s="8"/>
      <c r="F412" s="8"/>
    </row>
    <row r="413" ht="37.5" customHeight="1">
      <c r="A413" s="8"/>
      <c r="B413" s="8"/>
      <c r="C413" s="8"/>
      <c r="D413" s="8"/>
      <c r="E413" s="8"/>
      <c r="F413" s="8"/>
    </row>
    <row r="414" ht="37.5" customHeight="1">
      <c r="A414" s="8"/>
      <c r="B414" s="8"/>
      <c r="C414" s="8"/>
      <c r="D414" s="8"/>
      <c r="E414" s="8"/>
      <c r="F414" s="8"/>
    </row>
    <row r="415" ht="37.5" customHeight="1">
      <c r="A415" s="8"/>
      <c r="B415" s="8"/>
      <c r="C415" s="8"/>
      <c r="D415" s="8"/>
      <c r="E415" s="8"/>
      <c r="F415" s="8"/>
    </row>
    <row r="416" ht="37.5" customHeight="1">
      <c r="A416" s="8"/>
      <c r="B416" s="8"/>
      <c r="C416" s="8"/>
      <c r="D416" s="8"/>
      <c r="E416" s="8"/>
      <c r="F416" s="8"/>
    </row>
    <row r="417" ht="37.5" customHeight="1">
      <c r="A417" s="8"/>
      <c r="B417" s="8"/>
      <c r="C417" s="8"/>
      <c r="D417" s="8"/>
      <c r="E417" s="8"/>
      <c r="F417" s="8"/>
    </row>
    <row r="418" ht="37.5" customHeight="1">
      <c r="A418" s="8"/>
      <c r="B418" s="8"/>
      <c r="C418" s="8"/>
      <c r="D418" s="8"/>
      <c r="E418" s="8"/>
      <c r="F418" s="8"/>
    </row>
    <row r="419" ht="37.5" customHeight="1">
      <c r="A419" s="8"/>
      <c r="B419" s="8"/>
      <c r="C419" s="8"/>
      <c r="D419" s="8"/>
      <c r="E419" s="8"/>
      <c r="F419" s="8"/>
    </row>
    <row r="420" ht="37.5" customHeight="1">
      <c r="A420" s="8"/>
      <c r="B420" s="8"/>
      <c r="C420" s="8"/>
      <c r="D420" s="8"/>
      <c r="E420" s="8"/>
      <c r="F420" s="8"/>
    </row>
    <row r="421" ht="37.5" customHeight="1">
      <c r="A421" s="8"/>
      <c r="B421" s="8"/>
      <c r="C421" s="8"/>
      <c r="D421" s="8"/>
      <c r="E421" s="8"/>
      <c r="F421" s="8"/>
    </row>
    <row r="422" ht="37.5" customHeight="1">
      <c r="A422" s="8"/>
      <c r="B422" s="8"/>
      <c r="C422" s="8"/>
      <c r="D422" s="8"/>
      <c r="E422" s="8"/>
      <c r="F422" s="8"/>
    </row>
    <row r="423" ht="37.5" customHeight="1">
      <c r="A423" s="8"/>
      <c r="B423" s="8"/>
      <c r="C423" s="8"/>
      <c r="D423" s="8"/>
      <c r="E423" s="8"/>
      <c r="F423" s="8"/>
    </row>
    <row r="424" ht="37.5" customHeight="1">
      <c r="A424" s="8"/>
      <c r="B424" s="8"/>
      <c r="C424" s="8"/>
      <c r="D424" s="8"/>
      <c r="E424" s="8"/>
      <c r="F424" s="8"/>
    </row>
    <row r="425" ht="37.5" customHeight="1">
      <c r="A425" s="8"/>
      <c r="B425" s="8"/>
      <c r="C425" s="8"/>
      <c r="D425" s="8"/>
      <c r="E425" s="8"/>
      <c r="F425" s="8"/>
    </row>
    <row r="426" ht="37.5" customHeight="1">
      <c r="A426" s="8"/>
      <c r="B426" s="8"/>
      <c r="C426" s="8"/>
      <c r="D426" s="8"/>
      <c r="E426" s="8"/>
      <c r="F426" s="8"/>
    </row>
    <row r="427" ht="37.5" customHeight="1">
      <c r="A427" s="8"/>
      <c r="B427" s="8"/>
      <c r="C427" s="8"/>
      <c r="D427" s="8"/>
      <c r="E427" s="8"/>
      <c r="F427" s="8"/>
    </row>
    <row r="428" ht="37.5" customHeight="1">
      <c r="A428" s="8"/>
      <c r="B428" s="8"/>
      <c r="C428" s="8"/>
      <c r="D428" s="8"/>
      <c r="E428" s="8"/>
      <c r="F428" s="8"/>
    </row>
    <row r="429" ht="37.5" customHeight="1">
      <c r="A429" s="8"/>
      <c r="B429" s="8"/>
      <c r="C429" s="8"/>
      <c r="D429" s="8"/>
      <c r="E429" s="8"/>
      <c r="F429" s="8"/>
    </row>
    <row r="430" ht="37.5" customHeight="1">
      <c r="A430" s="8"/>
      <c r="B430" s="8"/>
      <c r="C430" s="8"/>
      <c r="D430" s="8"/>
      <c r="E430" s="8"/>
      <c r="F430" s="8"/>
    </row>
    <row r="431" ht="37.5" customHeight="1">
      <c r="A431" s="8"/>
      <c r="B431" s="8"/>
      <c r="C431" s="8"/>
      <c r="D431" s="8"/>
      <c r="E431" s="8"/>
      <c r="F431" s="8"/>
    </row>
    <row r="432" ht="37.5" customHeight="1">
      <c r="A432" s="8"/>
      <c r="B432" s="8"/>
      <c r="C432" s="8"/>
      <c r="D432" s="8"/>
      <c r="E432" s="8"/>
      <c r="F432" s="8"/>
    </row>
    <row r="433" ht="37.5" customHeight="1">
      <c r="A433" s="8"/>
      <c r="B433" s="8"/>
      <c r="C433" s="8"/>
      <c r="D433" s="8"/>
      <c r="E433" s="8"/>
      <c r="F433" s="8"/>
    </row>
    <row r="434" ht="37.5" customHeight="1">
      <c r="A434" s="8"/>
      <c r="B434" s="8"/>
      <c r="C434" s="8"/>
      <c r="D434" s="8"/>
      <c r="E434" s="8"/>
      <c r="F434" s="8"/>
    </row>
    <row r="435" ht="37.5" customHeight="1">
      <c r="A435" s="8"/>
      <c r="B435" s="8"/>
      <c r="C435" s="8"/>
      <c r="D435" s="8"/>
      <c r="E435" s="8"/>
      <c r="F435" s="8"/>
    </row>
    <row r="436" ht="37.5" customHeight="1">
      <c r="A436" s="8"/>
      <c r="B436" s="8"/>
      <c r="C436" s="8"/>
      <c r="D436" s="8"/>
      <c r="E436" s="8"/>
      <c r="F436" s="8"/>
    </row>
    <row r="437" ht="37.5" customHeight="1">
      <c r="A437" s="8"/>
      <c r="B437" s="8"/>
      <c r="C437" s="8"/>
      <c r="D437" s="8"/>
      <c r="E437" s="8"/>
      <c r="F437" s="8"/>
    </row>
    <row r="438" ht="37.5" customHeight="1">
      <c r="A438" s="8"/>
      <c r="B438" s="8"/>
      <c r="C438" s="8"/>
      <c r="D438" s="8"/>
      <c r="E438" s="8"/>
      <c r="F438" s="8"/>
    </row>
    <row r="439" ht="37.5" customHeight="1">
      <c r="A439" s="8"/>
      <c r="B439" s="8"/>
      <c r="C439" s="8"/>
      <c r="D439" s="8"/>
      <c r="E439" s="8"/>
      <c r="F439" s="8"/>
    </row>
    <row r="440" ht="37.5" customHeight="1">
      <c r="A440" s="8"/>
      <c r="B440" s="8"/>
      <c r="C440" s="8"/>
      <c r="D440" s="8"/>
      <c r="E440" s="8"/>
      <c r="F440" s="8"/>
    </row>
    <row r="441" ht="37.5" customHeight="1">
      <c r="A441" s="8"/>
      <c r="B441" s="8"/>
      <c r="C441" s="8"/>
      <c r="D441" s="8"/>
      <c r="E441" s="8"/>
      <c r="F441" s="8"/>
    </row>
    <row r="442" ht="37.5" customHeight="1">
      <c r="A442" s="8"/>
      <c r="B442" s="8"/>
      <c r="C442" s="8"/>
      <c r="D442" s="8"/>
      <c r="E442" s="8"/>
      <c r="F442" s="8"/>
    </row>
    <row r="443" ht="37.5" customHeight="1">
      <c r="A443" s="8"/>
      <c r="B443" s="8"/>
      <c r="C443" s="8"/>
      <c r="D443" s="8"/>
      <c r="E443" s="8"/>
      <c r="F443" s="8"/>
    </row>
    <row r="444" ht="37.5" customHeight="1">
      <c r="A444" s="8"/>
      <c r="B444" s="8"/>
      <c r="C444" s="8"/>
      <c r="D444" s="8"/>
      <c r="E444" s="8"/>
      <c r="F444" s="8"/>
    </row>
    <row r="445" ht="37.5" customHeight="1">
      <c r="A445" s="8"/>
      <c r="B445" s="8"/>
      <c r="C445" s="8"/>
      <c r="D445" s="8"/>
      <c r="E445" s="8"/>
      <c r="F445" s="8"/>
    </row>
    <row r="446" ht="37.5" customHeight="1">
      <c r="A446" s="8"/>
      <c r="B446" s="8"/>
      <c r="C446" s="8"/>
      <c r="D446" s="8"/>
      <c r="E446" s="8"/>
      <c r="F446" s="8"/>
    </row>
    <row r="447" ht="37.5" customHeight="1">
      <c r="A447" s="8"/>
      <c r="B447" s="8"/>
      <c r="C447" s="8"/>
      <c r="D447" s="8"/>
      <c r="E447" s="8"/>
      <c r="F447" s="8"/>
    </row>
    <row r="448" ht="37.5" customHeight="1">
      <c r="A448" s="8"/>
      <c r="B448" s="8"/>
      <c r="C448" s="8"/>
      <c r="D448" s="8"/>
      <c r="E448" s="8"/>
      <c r="F448" s="8"/>
    </row>
    <row r="449" ht="37.5" customHeight="1">
      <c r="A449" s="8"/>
      <c r="B449" s="8"/>
      <c r="C449" s="8"/>
      <c r="D449" s="8"/>
      <c r="E449" s="8"/>
      <c r="F449" s="8"/>
    </row>
    <row r="450" ht="37.5" customHeight="1">
      <c r="A450" s="8"/>
      <c r="B450" s="8"/>
      <c r="C450" s="8"/>
      <c r="D450" s="8"/>
      <c r="E450" s="8"/>
      <c r="F450" s="8"/>
    </row>
    <row r="451" ht="37.5" customHeight="1">
      <c r="A451" s="8"/>
      <c r="B451" s="8"/>
      <c r="C451" s="8"/>
      <c r="D451" s="8"/>
      <c r="E451" s="8"/>
      <c r="F451" s="8"/>
    </row>
    <row r="452" ht="37.5" customHeight="1">
      <c r="A452" s="8"/>
      <c r="B452" s="8"/>
      <c r="C452" s="8"/>
      <c r="D452" s="8"/>
      <c r="E452" s="8"/>
      <c r="F452" s="8"/>
    </row>
    <row r="453" ht="37.5" customHeight="1">
      <c r="A453" s="8"/>
      <c r="B453" s="8"/>
      <c r="C453" s="8"/>
      <c r="D453" s="8"/>
      <c r="E453" s="8"/>
      <c r="F453" s="8"/>
    </row>
    <row r="454" ht="37.5" customHeight="1">
      <c r="A454" s="8"/>
      <c r="B454" s="8"/>
      <c r="C454" s="8"/>
      <c r="D454" s="8"/>
      <c r="E454" s="8"/>
      <c r="F454" s="8"/>
    </row>
    <row r="455" ht="37.5" customHeight="1">
      <c r="A455" s="8"/>
      <c r="B455" s="8"/>
      <c r="C455" s="8"/>
      <c r="D455" s="8"/>
      <c r="E455" s="8"/>
      <c r="F455" s="8"/>
    </row>
    <row r="456" ht="37.5" customHeight="1">
      <c r="A456" s="8"/>
      <c r="B456" s="8"/>
      <c r="C456" s="8"/>
      <c r="D456" s="8"/>
      <c r="E456" s="8"/>
      <c r="F456" s="8"/>
    </row>
    <row r="457" ht="37.5" customHeight="1">
      <c r="A457" s="8"/>
      <c r="B457" s="8"/>
      <c r="C457" s="8"/>
      <c r="D457" s="8"/>
      <c r="E457" s="8"/>
      <c r="F457" s="8"/>
    </row>
    <row r="458" ht="37.5" customHeight="1">
      <c r="A458" s="8"/>
      <c r="B458" s="8"/>
      <c r="C458" s="8"/>
      <c r="D458" s="8"/>
      <c r="E458" s="8"/>
      <c r="F458" s="8"/>
    </row>
    <row r="459" ht="37.5" customHeight="1">
      <c r="A459" s="8"/>
      <c r="B459" s="8"/>
      <c r="C459" s="8"/>
      <c r="D459" s="8"/>
      <c r="E459" s="8"/>
      <c r="F459" s="8"/>
    </row>
    <row r="460" ht="37.5" customHeight="1">
      <c r="A460" s="8"/>
      <c r="B460" s="8"/>
      <c r="C460" s="8"/>
      <c r="D460" s="8"/>
      <c r="E460" s="8"/>
      <c r="F460" s="8"/>
    </row>
    <row r="461" ht="37.5" customHeight="1">
      <c r="A461" s="8"/>
      <c r="B461" s="8"/>
      <c r="C461" s="8"/>
      <c r="D461" s="8"/>
      <c r="E461" s="8"/>
      <c r="F461" s="8"/>
    </row>
    <row r="462" ht="37.5" customHeight="1">
      <c r="A462" s="8"/>
      <c r="B462" s="8"/>
      <c r="C462" s="8"/>
      <c r="D462" s="8"/>
      <c r="E462" s="8"/>
      <c r="F462" s="8"/>
    </row>
    <row r="463" ht="37.5" customHeight="1">
      <c r="A463" s="8"/>
      <c r="B463" s="8"/>
      <c r="C463" s="8"/>
      <c r="D463" s="8"/>
      <c r="E463" s="8"/>
      <c r="F463" s="8"/>
    </row>
    <row r="464" ht="37.5" customHeight="1">
      <c r="A464" s="8"/>
      <c r="B464" s="8"/>
      <c r="C464" s="8"/>
      <c r="D464" s="8"/>
      <c r="E464" s="8"/>
      <c r="F464" s="8"/>
    </row>
    <row r="465" ht="37.5" customHeight="1">
      <c r="A465" s="8"/>
      <c r="B465" s="8"/>
      <c r="C465" s="8"/>
      <c r="D465" s="8"/>
      <c r="E465" s="8"/>
      <c r="F465" s="8"/>
    </row>
    <row r="466" ht="37.5" customHeight="1">
      <c r="A466" s="8"/>
      <c r="B466" s="8"/>
      <c r="C466" s="8"/>
      <c r="D466" s="8"/>
      <c r="E466" s="8"/>
      <c r="F466" s="8"/>
    </row>
    <row r="467" ht="37.5" customHeight="1">
      <c r="A467" s="8"/>
      <c r="B467" s="8"/>
      <c r="C467" s="8"/>
      <c r="D467" s="8"/>
      <c r="E467" s="8"/>
      <c r="F467" s="8"/>
    </row>
    <row r="468" ht="37.5" customHeight="1">
      <c r="A468" s="8"/>
      <c r="B468" s="8"/>
      <c r="C468" s="8"/>
      <c r="D468" s="8"/>
      <c r="E468" s="8"/>
      <c r="F468" s="8"/>
    </row>
    <row r="469" ht="37.5" customHeight="1">
      <c r="A469" s="8"/>
      <c r="B469" s="8"/>
      <c r="C469" s="8"/>
      <c r="D469" s="8"/>
      <c r="E469" s="8"/>
      <c r="F469" s="8"/>
    </row>
    <row r="470" ht="37.5" customHeight="1">
      <c r="A470" s="8"/>
      <c r="B470" s="8"/>
      <c r="C470" s="8"/>
      <c r="D470" s="8"/>
      <c r="E470" s="8"/>
      <c r="F470" s="8"/>
    </row>
    <row r="471" ht="37.5" customHeight="1">
      <c r="A471" s="8"/>
      <c r="B471" s="8"/>
      <c r="C471" s="8"/>
      <c r="D471" s="8"/>
      <c r="E471" s="8"/>
      <c r="F471" s="8"/>
    </row>
    <row r="472" ht="37.5" customHeight="1">
      <c r="A472" s="8"/>
      <c r="B472" s="8"/>
      <c r="C472" s="8"/>
      <c r="D472" s="8"/>
      <c r="E472" s="8"/>
      <c r="F472" s="8"/>
    </row>
    <row r="473" ht="37.5" customHeight="1">
      <c r="A473" s="8"/>
      <c r="B473" s="8"/>
      <c r="C473" s="8"/>
      <c r="D473" s="8"/>
      <c r="E473" s="8"/>
      <c r="F473" s="8"/>
    </row>
    <row r="474" ht="37.5" customHeight="1">
      <c r="A474" s="8"/>
      <c r="B474" s="8"/>
      <c r="C474" s="8"/>
      <c r="D474" s="8"/>
      <c r="E474" s="8"/>
      <c r="F474" s="8"/>
    </row>
    <row r="475" ht="37.5" customHeight="1">
      <c r="A475" s="8"/>
      <c r="B475" s="8"/>
      <c r="C475" s="8"/>
      <c r="D475" s="8"/>
      <c r="E475" s="8"/>
      <c r="F475" s="8"/>
    </row>
    <row r="476" ht="37.5" customHeight="1">
      <c r="A476" s="8"/>
      <c r="B476" s="8"/>
      <c r="C476" s="8"/>
      <c r="D476" s="8"/>
      <c r="E476" s="8"/>
      <c r="F476" s="8"/>
    </row>
    <row r="477" ht="37.5" customHeight="1">
      <c r="A477" s="8"/>
      <c r="B477" s="8"/>
      <c r="C477" s="8"/>
      <c r="D477" s="8"/>
      <c r="E477" s="8"/>
      <c r="F477" s="8"/>
    </row>
    <row r="478" ht="37.5" customHeight="1">
      <c r="A478" s="8"/>
      <c r="B478" s="8"/>
      <c r="C478" s="8"/>
      <c r="D478" s="8"/>
      <c r="E478" s="8"/>
      <c r="F478" s="8"/>
    </row>
    <row r="479" ht="37.5" customHeight="1">
      <c r="A479" s="8"/>
      <c r="B479" s="8"/>
      <c r="C479" s="8"/>
      <c r="D479" s="8"/>
      <c r="E479" s="8"/>
      <c r="F479" s="8"/>
    </row>
    <row r="480" ht="37.5" customHeight="1">
      <c r="A480" s="8"/>
      <c r="B480" s="8"/>
      <c r="C480" s="8"/>
      <c r="D480" s="8"/>
      <c r="E480" s="8"/>
      <c r="F480" s="8"/>
    </row>
    <row r="481" ht="37.5" customHeight="1">
      <c r="A481" s="8"/>
      <c r="B481" s="8"/>
      <c r="C481" s="8"/>
      <c r="D481" s="8"/>
      <c r="E481" s="8"/>
      <c r="F481" s="8"/>
    </row>
    <row r="482" ht="37.5" customHeight="1">
      <c r="A482" s="8"/>
      <c r="B482" s="8"/>
      <c r="C482" s="8"/>
      <c r="D482" s="8"/>
      <c r="E482" s="8"/>
      <c r="F482" s="8"/>
    </row>
    <row r="483" ht="37.5" customHeight="1">
      <c r="A483" s="8"/>
      <c r="B483" s="8"/>
      <c r="C483" s="8"/>
      <c r="D483" s="8"/>
      <c r="E483" s="8"/>
      <c r="F483" s="8"/>
    </row>
    <row r="484" ht="37.5" customHeight="1">
      <c r="A484" s="8"/>
      <c r="B484" s="8"/>
      <c r="C484" s="8"/>
      <c r="D484" s="8"/>
      <c r="E484" s="8"/>
      <c r="F484" s="8"/>
    </row>
    <row r="485" ht="37.5" customHeight="1">
      <c r="A485" s="8"/>
      <c r="B485" s="8"/>
      <c r="C485" s="8"/>
      <c r="D485" s="8"/>
      <c r="E485" s="8"/>
      <c r="F485" s="8"/>
    </row>
    <row r="486" ht="37.5" customHeight="1">
      <c r="A486" s="8"/>
      <c r="B486" s="8"/>
      <c r="C486" s="8"/>
      <c r="D486" s="8"/>
      <c r="E486" s="8"/>
      <c r="F486" s="8"/>
    </row>
    <row r="487" ht="37.5" customHeight="1">
      <c r="A487" s="8"/>
      <c r="B487" s="8"/>
      <c r="C487" s="8"/>
      <c r="D487" s="8"/>
      <c r="E487" s="8"/>
      <c r="F487" s="8"/>
    </row>
    <row r="488" ht="37.5" customHeight="1">
      <c r="A488" s="8"/>
      <c r="B488" s="8"/>
      <c r="C488" s="8"/>
      <c r="D488" s="8"/>
      <c r="E488" s="8"/>
      <c r="F488" s="8"/>
    </row>
    <row r="489" ht="37.5" customHeight="1">
      <c r="A489" s="8"/>
      <c r="B489" s="8"/>
      <c r="C489" s="8"/>
      <c r="D489" s="8"/>
      <c r="E489" s="8"/>
      <c r="F489" s="8"/>
    </row>
    <row r="490" ht="37.5" customHeight="1">
      <c r="A490" s="8"/>
      <c r="B490" s="8"/>
      <c r="C490" s="8"/>
      <c r="D490" s="8"/>
      <c r="E490" s="8"/>
      <c r="F490" s="8"/>
    </row>
    <row r="491" ht="37.5" customHeight="1">
      <c r="A491" s="8"/>
      <c r="B491" s="8"/>
      <c r="C491" s="8"/>
      <c r="D491" s="8"/>
      <c r="E491" s="8"/>
      <c r="F491" s="8"/>
    </row>
    <row r="492" ht="37.5" customHeight="1">
      <c r="A492" s="8"/>
      <c r="B492" s="8"/>
      <c r="C492" s="8"/>
      <c r="D492" s="8"/>
      <c r="E492" s="8"/>
      <c r="F492" s="8"/>
    </row>
    <row r="493" ht="37.5" customHeight="1">
      <c r="A493" s="8"/>
      <c r="B493" s="8"/>
      <c r="C493" s="8"/>
      <c r="D493" s="8"/>
      <c r="E493" s="8"/>
      <c r="F493" s="8"/>
    </row>
    <row r="494" ht="37.5" customHeight="1">
      <c r="A494" s="8"/>
      <c r="B494" s="8"/>
      <c r="C494" s="8"/>
      <c r="D494" s="8"/>
      <c r="E494" s="8"/>
      <c r="F494" s="8"/>
    </row>
    <row r="495" ht="37.5" customHeight="1">
      <c r="A495" s="8"/>
      <c r="B495" s="8"/>
      <c r="C495" s="8"/>
      <c r="D495" s="8"/>
      <c r="E495" s="8"/>
      <c r="F495" s="8"/>
    </row>
    <row r="496" ht="37.5" customHeight="1">
      <c r="A496" s="8"/>
      <c r="B496" s="8"/>
      <c r="C496" s="8"/>
      <c r="D496" s="8"/>
      <c r="E496" s="8"/>
      <c r="F496" s="8"/>
    </row>
    <row r="497" ht="37.5" customHeight="1">
      <c r="A497" s="8"/>
      <c r="B497" s="8"/>
      <c r="C497" s="8"/>
      <c r="D497" s="8"/>
      <c r="E497" s="8"/>
      <c r="F497" s="8"/>
    </row>
    <row r="498" ht="37.5" customHeight="1">
      <c r="A498" s="8"/>
      <c r="B498" s="8"/>
      <c r="C498" s="8"/>
      <c r="D498" s="8"/>
      <c r="E498" s="8"/>
      <c r="F498" s="8"/>
    </row>
    <row r="499" ht="37.5" customHeight="1">
      <c r="A499" s="8"/>
      <c r="B499" s="8"/>
      <c r="C499" s="8"/>
      <c r="D499" s="8"/>
      <c r="E499" s="8"/>
      <c r="F499" s="8"/>
    </row>
    <row r="500" ht="37.5" customHeight="1">
      <c r="A500" s="8"/>
      <c r="B500" s="8"/>
      <c r="C500" s="8"/>
      <c r="D500" s="8"/>
      <c r="E500" s="8"/>
      <c r="F500" s="8"/>
    </row>
    <row r="501" ht="37.5" customHeight="1">
      <c r="A501" s="8"/>
      <c r="B501" s="8"/>
      <c r="C501" s="8"/>
      <c r="D501" s="8"/>
      <c r="E501" s="8"/>
      <c r="F501" s="8"/>
    </row>
    <row r="502" ht="37.5" customHeight="1">
      <c r="A502" s="8"/>
      <c r="B502" s="8"/>
      <c r="C502" s="8"/>
      <c r="D502" s="8"/>
      <c r="E502" s="8"/>
      <c r="F502" s="8"/>
    </row>
    <row r="503" ht="37.5" customHeight="1">
      <c r="A503" s="8"/>
      <c r="B503" s="8"/>
      <c r="C503" s="8"/>
      <c r="D503" s="8"/>
      <c r="E503" s="8"/>
      <c r="F503" s="8"/>
    </row>
    <row r="504" ht="37.5" customHeight="1">
      <c r="A504" s="8"/>
      <c r="B504" s="8"/>
      <c r="C504" s="8"/>
      <c r="D504" s="8"/>
      <c r="E504" s="8"/>
      <c r="F504" s="8"/>
    </row>
    <row r="505" ht="37.5" customHeight="1">
      <c r="A505" s="8"/>
      <c r="B505" s="8"/>
      <c r="C505" s="8"/>
      <c r="D505" s="8"/>
      <c r="E505" s="8"/>
      <c r="F505" s="8"/>
    </row>
    <row r="506" ht="37.5" customHeight="1">
      <c r="A506" s="8"/>
      <c r="B506" s="8"/>
      <c r="C506" s="8"/>
      <c r="D506" s="8"/>
      <c r="E506" s="8"/>
      <c r="F506" s="8"/>
    </row>
    <row r="507" ht="37.5" customHeight="1">
      <c r="A507" s="8"/>
      <c r="B507" s="8"/>
      <c r="C507" s="8"/>
      <c r="D507" s="8"/>
      <c r="E507" s="8"/>
      <c r="F507" s="8"/>
    </row>
    <row r="508" ht="37.5" customHeight="1">
      <c r="A508" s="8"/>
      <c r="B508" s="8"/>
      <c r="C508" s="8"/>
      <c r="D508" s="8"/>
      <c r="E508" s="8"/>
      <c r="F508" s="8"/>
    </row>
    <row r="509" ht="37.5" customHeight="1">
      <c r="A509" s="8"/>
      <c r="B509" s="8"/>
      <c r="C509" s="8"/>
      <c r="D509" s="8"/>
      <c r="E509" s="8"/>
      <c r="F509" s="8"/>
    </row>
    <row r="510" ht="37.5" customHeight="1">
      <c r="A510" s="8"/>
      <c r="B510" s="8"/>
      <c r="C510" s="8"/>
      <c r="D510" s="8"/>
      <c r="E510" s="8"/>
      <c r="F510" s="8"/>
    </row>
    <row r="511" ht="37.5" customHeight="1">
      <c r="A511" s="8"/>
      <c r="B511" s="8"/>
      <c r="C511" s="8"/>
      <c r="D511" s="8"/>
      <c r="E511" s="8"/>
      <c r="F511" s="8"/>
    </row>
    <row r="512" ht="37.5" customHeight="1">
      <c r="A512" s="8"/>
      <c r="B512" s="8"/>
      <c r="C512" s="8"/>
      <c r="D512" s="8"/>
      <c r="E512" s="8"/>
      <c r="F512" s="8"/>
    </row>
    <row r="513" ht="37.5" customHeight="1">
      <c r="A513" s="8"/>
      <c r="B513" s="8"/>
      <c r="C513" s="8"/>
      <c r="D513" s="8"/>
      <c r="E513" s="8"/>
      <c r="F513" s="8"/>
    </row>
    <row r="514" ht="37.5" customHeight="1">
      <c r="A514" s="8"/>
      <c r="B514" s="8"/>
      <c r="C514" s="8"/>
      <c r="D514" s="8"/>
      <c r="E514" s="8"/>
      <c r="F514" s="8"/>
    </row>
    <row r="515" ht="37.5" customHeight="1">
      <c r="A515" s="8"/>
      <c r="B515" s="8"/>
      <c r="C515" s="8"/>
      <c r="D515" s="8"/>
      <c r="E515" s="8"/>
      <c r="F515" s="8"/>
    </row>
    <row r="516" ht="37.5" customHeight="1">
      <c r="A516" s="8"/>
      <c r="B516" s="8"/>
      <c r="C516" s="8"/>
      <c r="D516" s="8"/>
      <c r="E516" s="8"/>
      <c r="F516" s="8"/>
    </row>
    <row r="517" ht="37.5" customHeight="1">
      <c r="A517" s="8"/>
      <c r="B517" s="8"/>
      <c r="C517" s="8"/>
      <c r="D517" s="8"/>
      <c r="E517" s="8"/>
      <c r="F517" s="8"/>
    </row>
    <row r="518" ht="37.5" customHeight="1">
      <c r="A518" s="8"/>
      <c r="B518" s="8"/>
      <c r="C518" s="8"/>
      <c r="D518" s="8"/>
      <c r="E518" s="8"/>
      <c r="F518" s="8"/>
    </row>
    <row r="519" ht="37.5" customHeight="1">
      <c r="A519" s="8"/>
      <c r="B519" s="8"/>
      <c r="C519" s="8"/>
      <c r="D519" s="8"/>
      <c r="E519" s="8"/>
      <c r="F519" s="8"/>
    </row>
    <row r="520" ht="37.5" customHeight="1">
      <c r="A520" s="8"/>
      <c r="B520" s="8"/>
      <c r="C520" s="8"/>
      <c r="D520" s="8"/>
      <c r="E520" s="8"/>
      <c r="F520" s="8"/>
    </row>
    <row r="521" ht="37.5" customHeight="1">
      <c r="A521" s="8"/>
      <c r="B521" s="8"/>
      <c r="C521" s="8"/>
      <c r="D521" s="8"/>
      <c r="E521" s="8"/>
      <c r="F521" s="8"/>
    </row>
    <row r="522" ht="37.5" customHeight="1">
      <c r="A522" s="8"/>
      <c r="B522" s="8"/>
      <c r="C522" s="8"/>
      <c r="D522" s="8"/>
      <c r="E522" s="8"/>
      <c r="F522" s="8"/>
    </row>
    <row r="523" ht="37.5" customHeight="1">
      <c r="A523" s="8"/>
      <c r="B523" s="8"/>
      <c r="C523" s="8"/>
      <c r="D523" s="8"/>
      <c r="E523" s="8"/>
      <c r="F523" s="8"/>
    </row>
    <row r="524" ht="37.5" customHeight="1">
      <c r="A524" s="8"/>
      <c r="B524" s="8"/>
      <c r="C524" s="8"/>
      <c r="D524" s="8"/>
      <c r="E524" s="8"/>
      <c r="F524" s="8"/>
    </row>
    <row r="525" ht="37.5" customHeight="1">
      <c r="A525" s="8"/>
      <c r="B525" s="8"/>
      <c r="C525" s="8"/>
      <c r="D525" s="8"/>
      <c r="E525" s="8"/>
      <c r="F525" s="8"/>
    </row>
    <row r="526" ht="37.5" customHeight="1">
      <c r="A526" s="8"/>
      <c r="B526" s="8"/>
      <c r="C526" s="8"/>
      <c r="D526" s="8"/>
      <c r="E526" s="8"/>
      <c r="F526" s="8"/>
    </row>
    <row r="527" ht="37.5" customHeight="1">
      <c r="A527" s="8"/>
      <c r="B527" s="8"/>
      <c r="C527" s="8"/>
      <c r="D527" s="8"/>
      <c r="E527" s="8"/>
      <c r="F527" s="8"/>
    </row>
    <row r="528" ht="37.5" customHeight="1">
      <c r="A528" s="8"/>
      <c r="B528" s="8"/>
      <c r="C528" s="8"/>
      <c r="D528" s="8"/>
      <c r="E528" s="8"/>
      <c r="F528" s="8"/>
    </row>
    <row r="529" ht="37.5" customHeight="1">
      <c r="A529" s="8"/>
      <c r="B529" s="8"/>
      <c r="C529" s="8"/>
      <c r="D529" s="8"/>
      <c r="E529" s="8"/>
      <c r="F529" s="8"/>
    </row>
    <row r="530" ht="37.5" customHeight="1">
      <c r="A530" s="8"/>
      <c r="B530" s="8"/>
      <c r="C530" s="8"/>
      <c r="D530" s="8"/>
      <c r="E530" s="8"/>
      <c r="F530" s="8"/>
    </row>
    <row r="531" ht="37.5" customHeight="1">
      <c r="A531" s="8"/>
      <c r="B531" s="8"/>
      <c r="C531" s="8"/>
      <c r="D531" s="8"/>
      <c r="E531" s="8"/>
      <c r="F531" s="8"/>
    </row>
    <row r="532" ht="37.5" customHeight="1">
      <c r="A532" s="8"/>
      <c r="B532" s="8"/>
      <c r="C532" s="8"/>
      <c r="D532" s="8"/>
      <c r="E532" s="8"/>
      <c r="F532" s="8"/>
    </row>
    <row r="533" ht="37.5" customHeight="1">
      <c r="A533" s="8"/>
      <c r="B533" s="8"/>
      <c r="C533" s="8"/>
      <c r="D533" s="8"/>
      <c r="E533" s="8"/>
      <c r="F533" s="8"/>
    </row>
    <row r="534" ht="37.5" customHeight="1">
      <c r="A534" s="8"/>
      <c r="B534" s="8"/>
      <c r="C534" s="8"/>
      <c r="D534" s="8"/>
      <c r="E534" s="8"/>
      <c r="F534" s="8"/>
    </row>
    <row r="535" ht="37.5" customHeight="1">
      <c r="A535" s="8"/>
      <c r="B535" s="8"/>
      <c r="C535" s="8"/>
      <c r="D535" s="8"/>
      <c r="E535" s="8"/>
      <c r="F535" s="8"/>
    </row>
    <row r="536" ht="37.5" customHeight="1">
      <c r="A536" s="8"/>
      <c r="B536" s="8"/>
      <c r="C536" s="8"/>
      <c r="D536" s="8"/>
      <c r="E536" s="8"/>
      <c r="F536" s="8"/>
    </row>
    <row r="537" ht="37.5" customHeight="1">
      <c r="A537" s="8"/>
      <c r="B537" s="8"/>
      <c r="C537" s="8"/>
      <c r="D537" s="8"/>
      <c r="E537" s="8"/>
      <c r="F537" s="8"/>
    </row>
    <row r="538" ht="37.5" customHeight="1">
      <c r="A538" s="8"/>
      <c r="B538" s="8"/>
      <c r="C538" s="8"/>
      <c r="D538" s="8"/>
      <c r="E538" s="8"/>
      <c r="F538" s="8"/>
    </row>
    <row r="539" ht="37.5" customHeight="1">
      <c r="A539" s="8"/>
      <c r="B539" s="8"/>
      <c r="C539" s="8"/>
      <c r="D539" s="8"/>
      <c r="E539" s="8"/>
      <c r="F539" s="8"/>
    </row>
    <row r="540" ht="37.5" customHeight="1">
      <c r="A540" s="8"/>
      <c r="B540" s="8"/>
      <c r="C540" s="8"/>
      <c r="D540" s="8"/>
      <c r="E540" s="8"/>
      <c r="F540" s="8"/>
    </row>
    <row r="541" ht="37.5" customHeight="1">
      <c r="A541" s="8"/>
      <c r="B541" s="8"/>
      <c r="C541" s="8"/>
      <c r="D541" s="8"/>
      <c r="E541" s="8"/>
      <c r="F541" s="8"/>
    </row>
    <row r="542" ht="37.5" customHeight="1">
      <c r="A542" s="8"/>
      <c r="B542" s="8"/>
      <c r="C542" s="8"/>
      <c r="D542" s="8"/>
      <c r="E542" s="8"/>
      <c r="F542" s="8"/>
    </row>
    <row r="543" ht="37.5" customHeight="1">
      <c r="A543" s="8"/>
      <c r="B543" s="8"/>
      <c r="C543" s="8"/>
      <c r="D543" s="8"/>
      <c r="E543" s="8"/>
      <c r="F543" s="8"/>
    </row>
    <row r="544" ht="37.5" customHeight="1">
      <c r="A544" s="8"/>
      <c r="B544" s="8"/>
      <c r="C544" s="8"/>
      <c r="D544" s="8"/>
      <c r="E544" s="8"/>
      <c r="F544" s="8"/>
    </row>
    <row r="545" ht="37.5" customHeight="1">
      <c r="A545" s="8"/>
      <c r="B545" s="8"/>
      <c r="C545" s="8"/>
      <c r="D545" s="8"/>
      <c r="E545" s="8"/>
      <c r="F545" s="8"/>
    </row>
    <row r="546" ht="37.5" customHeight="1">
      <c r="A546" s="8"/>
      <c r="B546" s="8"/>
      <c r="C546" s="8"/>
      <c r="D546" s="8"/>
      <c r="E546" s="8"/>
      <c r="F546" s="8"/>
    </row>
    <row r="547" ht="37.5" customHeight="1">
      <c r="A547" s="8"/>
      <c r="B547" s="8"/>
      <c r="C547" s="8"/>
      <c r="D547" s="8"/>
      <c r="E547" s="8"/>
      <c r="F547" s="8"/>
    </row>
    <row r="548" ht="37.5" customHeight="1">
      <c r="A548" s="8"/>
      <c r="B548" s="8"/>
      <c r="C548" s="8"/>
      <c r="D548" s="8"/>
      <c r="E548" s="8"/>
      <c r="F548" s="8"/>
    </row>
    <row r="549" ht="37.5" customHeight="1">
      <c r="A549" s="8"/>
      <c r="B549" s="8"/>
      <c r="C549" s="8"/>
      <c r="D549" s="8"/>
      <c r="E549" s="8"/>
      <c r="F549" s="8"/>
    </row>
    <row r="550" ht="37.5" customHeight="1">
      <c r="A550" s="8"/>
      <c r="B550" s="8"/>
      <c r="C550" s="8"/>
      <c r="D550" s="8"/>
      <c r="E550" s="8"/>
      <c r="F550" s="8"/>
    </row>
    <row r="551" ht="37.5" customHeight="1">
      <c r="A551" s="8"/>
      <c r="B551" s="8"/>
      <c r="C551" s="8"/>
      <c r="D551" s="8"/>
      <c r="E551" s="8"/>
      <c r="F551" s="8"/>
    </row>
    <row r="552" ht="37.5" customHeight="1">
      <c r="A552" s="8"/>
      <c r="B552" s="8"/>
      <c r="C552" s="8"/>
      <c r="D552" s="8"/>
      <c r="E552" s="8"/>
      <c r="F552" s="8"/>
    </row>
    <row r="553" ht="37.5" customHeight="1">
      <c r="A553" s="8"/>
      <c r="B553" s="8"/>
      <c r="C553" s="8"/>
      <c r="D553" s="8"/>
      <c r="E553" s="8"/>
      <c r="F553" s="8"/>
    </row>
    <row r="554" ht="37.5" customHeight="1">
      <c r="A554" s="8"/>
      <c r="B554" s="8"/>
      <c r="C554" s="8"/>
      <c r="D554" s="8"/>
      <c r="E554" s="8"/>
      <c r="F554" s="8"/>
    </row>
    <row r="555" ht="37.5" customHeight="1">
      <c r="A555" s="8"/>
      <c r="B555" s="8"/>
      <c r="C555" s="8"/>
      <c r="D555" s="8"/>
      <c r="E555" s="8"/>
      <c r="F555" s="8"/>
    </row>
    <row r="556" ht="37.5" customHeight="1">
      <c r="A556" s="8"/>
      <c r="B556" s="8"/>
      <c r="C556" s="8"/>
      <c r="D556" s="8"/>
      <c r="E556" s="8"/>
      <c r="F556" s="8"/>
    </row>
    <row r="557" ht="37.5" customHeight="1">
      <c r="A557" s="8"/>
      <c r="B557" s="8"/>
      <c r="C557" s="8"/>
      <c r="D557" s="8"/>
      <c r="E557" s="8"/>
      <c r="F557" s="8"/>
    </row>
    <row r="558" ht="37.5" customHeight="1">
      <c r="A558" s="8"/>
      <c r="B558" s="8"/>
      <c r="C558" s="8"/>
      <c r="D558" s="8"/>
      <c r="E558" s="8"/>
      <c r="F558" s="8"/>
    </row>
    <row r="559" ht="37.5" customHeight="1">
      <c r="A559" s="8"/>
      <c r="B559" s="8"/>
      <c r="C559" s="8"/>
      <c r="D559" s="8"/>
      <c r="E559" s="8"/>
      <c r="F559" s="8"/>
    </row>
    <row r="560" ht="37.5" customHeight="1">
      <c r="A560" s="8"/>
      <c r="B560" s="8"/>
      <c r="C560" s="8"/>
      <c r="D560" s="8"/>
      <c r="E560" s="8"/>
      <c r="F560" s="8"/>
    </row>
    <row r="561" ht="37.5" customHeight="1">
      <c r="A561" s="8"/>
      <c r="B561" s="8"/>
      <c r="C561" s="8"/>
      <c r="D561" s="8"/>
      <c r="E561" s="8"/>
      <c r="F561" s="8"/>
    </row>
    <row r="562" ht="37.5" customHeight="1">
      <c r="A562" s="8"/>
      <c r="B562" s="8"/>
      <c r="C562" s="8"/>
      <c r="D562" s="8"/>
      <c r="E562" s="8"/>
      <c r="F562" s="8"/>
    </row>
    <row r="563" ht="37.5" customHeight="1">
      <c r="A563" s="8"/>
      <c r="B563" s="8"/>
      <c r="C563" s="8"/>
      <c r="D563" s="8"/>
      <c r="E563" s="8"/>
      <c r="F563" s="8"/>
    </row>
    <row r="564" ht="37.5" customHeight="1">
      <c r="A564" s="8"/>
      <c r="B564" s="8"/>
      <c r="C564" s="8"/>
      <c r="D564" s="8"/>
      <c r="E564" s="8"/>
      <c r="F564" s="8"/>
    </row>
    <row r="565" ht="37.5" customHeight="1">
      <c r="A565" s="8"/>
      <c r="B565" s="8"/>
      <c r="C565" s="8"/>
      <c r="D565" s="8"/>
      <c r="E565" s="8"/>
      <c r="F565" s="8"/>
    </row>
    <row r="566" ht="37.5" customHeight="1">
      <c r="A566" s="8"/>
      <c r="B566" s="8"/>
      <c r="C566" s="8"/>
      <c r="D566" s="8"/>
      <c r="E566" s="8"/>
      <c r="F566" s="8"/>
    </row>
    <row r="567" ht="37.5" customHeight="1">
      <c r="A567" s="8"/>
      <c r="B567" s="8"/>
      <c r="C567" s="8"/>
      <c r="D567" s="8"/>
      <c r="E567" s="8"/>
      <c r="F567" s="8"/>
    </row>
    <row r="568" ht="37.5" customHeight="1">
      <c r="A568" s="8"/>
      <c r="B568" s="8"/>
      <c r="C568" s="8"/>
      <c r="D568" s="8"/>
      <c r="E568" s="8"/>
      <c r="F568" s="8"/>
    </row>
    <row r="569" ht="37.5" customHeight="1">
      <c r="A569" s="8"/>
      <c r="B569" s="8"/>
      <c r="C569" s="8"/>
      <c r="D569" s="8"/>
      <c r="E569" s="8"/>
      <c r="F569" s="8"/>
    </row>
    <row r="570" ht="37.5" customHeight="1">
      <c r="A570" s="8"/>
      <c r="B570" s="8"/>
      <c r="C570" s="8"/>
      <c r="D570" s="8"/>
      <c r="E570" s="8"/>
      <c r="F570" s="8"/>
    </row>
    <row r="571" ht="37.5" customHeight="1">
      <c r="A571" s="8"/>
      <c r="B571" s="8"/>
      <c r="C571" s="8"/>
      <c r="D571" s="8"/>
      <c r="E571" s="8"/>
      <c r="F571" s="8"/>
    </row>
    <row r="572" ht="37.5" customHeight="1">
      <c r="A572" s="8"/>
      <c r="B572" s="8"/>
      <c r="C572" s="8"/>
      <c r="D572" s="8"/>
      <c r="E572" s="8"/>
      <c r="F572" s="8"/>
    </row>
    <row r="573" ht="37.5" customHeight="1">
      <c r="A573" s="8"/>
      <c r="B573" s="8"/>
      <c r="C573" s="8"/>
      <c r="D573" s="8"/>
      <c r="E573" s="8"/>
      <c r="F573" s="8"/>
    </row>
    <row r="574" ht="37.5" customHeight="1">
      <c r="A574" s="8"/>
      <c r="B574" s="8"/>
      <c r="C574" s="8"/>
      <c r="D574" s="8"/>
      <c r="E574" s="8"/>
      <c r="F574" s="8"/>
    </row>
    <row r="575" ht="37.5" customHeight="1">
      <c r="A575" s="8"/>
      <c r="B575" s="8"/>
      <c r="C575" s="8"/>
      <c r="D575" s="8"/>
      <c r="E575" s="8"/>
      <c r="F575" s="8"/>
    </row>
    <row r="576" ht="37.5" customHeight="1">
      <c r="A576" s="8"/>
      <c r="B576" s="8"/>
      <c r="C576" s="8"/>
      <c r="D576" s="8"/>
      <c r="E576" s="8"/>
      <c r="F576" s="8"/>
    </row>
    <row r="577" ht="37.5" customHeight="1">
      <c r="A577" s="8"/>
      <c r="B577" s="8"/>
      <c r="C577" s="8"/>
      <c r="D577" s="8"/>
      <c r="E577" s="8"/>
      <c r="F577" s="8"/>
    </row>
    <row r="578" ht="37.5" customHeight="1">
      <c r="A578" s="8"/>
      <c r="B578" s="8"/>
      <c r="C578" s="8"/>
      <c r="D578" s="8"/>
      <c r="E578" s="8"/>
      <c r="F578" s="8"/>
    </row>
    <row r="579" ht="37.5" customHeight="1">
      <c r="A579" s="8"/>
      <c r="B579" s="8"/>
      <c r="C579" s="8"/>
      <c r="D579" s="8"/>
      <c r="E579" s="8"/>
      <c r="F579" s="8"/>
    </row>
  </sheetData>
  <customSheetViews>
    <customSheetView guid="{B07D8034-17A6-4979-AD0A-EDA5D4406C74}" filter="1" showAutoFilter="1">
      <autoFilter ref="$A$1:$F$42"/>
    </customSheetView>
  </customSheetView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5.13"/>
    <col customWidth="1" min="3" max="3" width="7.25"/>
    <col customWidth="1" min="4" max="4" width="9.38"/>
    <col customWidth="1" min="5" max="5" width="8.0"/>
    <col customWidth="1" min="6" max="6" width="25.13"/>
  </cols>
  <sheetData>
    <row r="1" ht="37.5" customHeight="1">
      <c r="A1" s="10" t="s">
        <v>0</v>
      </c>
      <c r="B1" s="10" t="s">
        <v>1</v>
      </c>
      <c r="C1" s="10" t="s">
        <v>2</v>
      </c>
      <c r="D1" s="10" t="s">
        <v>3</v>
      </c>
      <c r="E1" s="10" t="s">
        <v>4</v>
      </c>
      <c r="F1" s="10" t="s">
        <v>5</v>
      </c>
    </row>
    <row r="2" ht="37.5" customHeight="1">
      <c r="A2" s="8" t="str">
        <f>IFERROR(__xludf.DUMMYFUNCTION("FILTER('All Costumes'!A2:F645, 'All Costumes'!E2:E645=""head2"")"),"210_gnawedleaf_statue.anm2")</f>
        <v>210_gnawedleaf_statue.anm2</v>
      </c>
      <c r="B2" s="8">
        <f>IFERROR(__xludf.DUMMYFUNCTION("""COMPUTED_VALUE"""),4.0)</f>
        <v>4</v>
      </c>
      <c r="C2" s="8" t="str">
        <f>IFERROR(__xludf.DUMMYFUNCTION("""COMPUTED_VALUE"""),"none")</f>
        <v>none</v>
      </c>
      <c r="D2" s="8">
        <f>IFERROR(__xludf.DUMMYFUNCTION("""COMPUTED_VALUE"""),50.0)</f>
        <v>50</v>
      </c>
      <c r="E2" s="8" t="str">
        <f>IFERROR(__xludf.DUMMYFUNCTION("""COMPUTED_VALUE"""),"head2")</f>
        <v>head2</v>
      </c>
      <c r="F2" s="8" t="str">
        <f>IFERROR(__xludf.DUMMYFUNCTION("""COMPUTED_VALUE"""),"")</f>
        <v/>
      </c>
    </row>
    <row r="3" ht="37.5" customHeight="1">
      <c r="A3" s="8" t="str">
        <f>IFERROR(__xludf.DUMMYFUNCTION("""COMPUTED_VALUE"""),"015_3.anm2")</f>
        <v>015_3.anm2</v>
      </c>
      <c r="B3" s="8">
        <f>IFERROR(__xludf.DUMMYFUNCTION("""COMPUTED_VALUE"""),15.0)</f>
        <v>15</v>
      </c>
      <c r="C3" s="8" t="str">
        <f>IFERROR(__xludf.DUMMYFUNCTION("""COMPUTED_VALUE"""),"passive")</f>
        <v>passive</v>
      </c>
      <c r="D3" s="8">
        <f>IFERROR(__xludf.DUMMYFUNCTION("""COMPUTED_VALUE"""),0.0)</f>
        <v>0</v>
      </c>
      <c r="E3" s="8" t="str">
        <f>IFERROR(__xludf.DUMMYFUNCTION("""COMPUTED_VALUE"""),"head2")</f>
        <v>head2</v>
      </c>
      <c r="F3" s="8" t="str">
        <f>IFERROR(__xludf.DUMMYFUNCTION("""COMPUTED_VALUE"""),"")</f>
        <v/>
      </c>
    </row>
    <row r="4" ht="37.5" customHeight="1">
      <c r="A4" s="8" t="str">
        <f>IFERROR(__xludf.DUMMYFUNCTION("""COMPUTED_VALUE"""),"031_moms lipstick.anm2")</f>
        <v>031_moms lipstick.anm2</v>
      </c>
      <c r="B4" s="8">
        <f>IFERROR(__xludf.DUMMYFUNCTION("""COMPUTED_VALUE"""),31.0)</f>
        <v>31</v>
      </c>
      <c r="C4" s="8" t="str">
        <f>IFERROR(__xludf.DUMMYFUNCTION("""COMPUTED_VALUE"""),"passive")</f>
        <v>passive</v>
      </c>
      <c r="D4" s="8">
        <f>IFERROR(__xludf.DUMMYFUNCTION("""COMPUTED_VALUE"""),0.0)</f>
        <v>0</v>
      </c>
      <c r="E4" s="8" t="str">
        <f>IFERROR(__xludf.DUMMYFUNCTION("""COMPUTED_VALUE"""),"head2")</f>
        <v>head2</v>
      </c>
      <c r="F4" s="8" t="str">
        <f>IFERROR(__xludf.DUMMYFUNCTION("""COMPUTED_VALUE"""),"")</f>
        <v/>
      </c>
    </row>
    <row r="5" ht="37.5" customHeight="1">
      <c r="A5" s="8" t="str">
        <f>IFERROR(__xludf.DUMMYFUNCTION("""COMPUTED_VALUE"""),"032_wire coat hanger.anm2")</f>
        <v>032_wire coat hanger.anm2</v>
      </c>
      <c r="B5" s="8">
        <f>IFERROR(__xludf.DUMMYFUNCTION("""COMPUTED_VALUE"""),32.0)</f>
        <v>32</v>
      </c>
      <c r="C5" s="8" t="str">
        <f>IFERROR(__xludf.DUMMYFUNCTION("""COMPUTED_VALUE"""),"passive")</f>
        <v>passive</v>
      </c>
      <c r="D5" s="8">
        <f>IFERROR(__xludf.DUMMYFUNCTION("""COMPUTED_VALUE"""),0.0)</f>
        <v>0</v>
      </c>
      <c r="E5" s="8" t="str">
        <f>IFERROR(__xludf.DUMMYFUNCTION("""COMPUTED_VALUE"""),"head2")</f>
        <v>head2</v>
      </c>
      <c r="F5" s="8" t="str">
        <f>IFERROR(__xludf.DUMMYFUNCTION("""COMPUTED_VALUE"""),"")</f>
        <v/>
      </c>
    </row>
    <row r="6" ht="37.5" customHeight="1">
      <c r="A6" s="8" t="str">
        <f>IFERROR(__xludf.DUMMYFUNCTION("""COMPUTED_VALUE"""),"n032_transformation_bookworm.anm2")</f>
        <v>n032_transformation_bookworm.anm2</v>
      </c>
      <c r="B6" s="8">
        <f>IFERROR(__xludf.DUMMYFUNCTION("""COMPUTED_VALUE"""),37.0)</f>
        <v>37</v>
      </c>
      <c r="C6" s="8" t="str">
        <f>IFERROR(__xludf.DUMMYFUNCTION("""COMPUTED_VALUE"""),"none")</f>
        <v>none</v>
      </c>
      <c r="D6" s="8">
        <f>IFERROR(__xludf.DUMMYFUNCTION("""COMPUTED_VALUE"""),99.0)</f>
        <v>99</v>
      </c>
      <c r="E6" s="8" t="str">
        <f>IFERROR(__xludf.DUMMYFUNCTION("""COMPUTED_VALUE"""),"head2")</f>
        <v>head2</v>
      </c>
      <c r="F6" s="8" t="str">
        <f>IFERROR(__xludf.DUMMYFUNCTION("""COMPUTED_VALUE"""),"")</f>
        <v/>
      </c>
    </row>
    <row r="7" ht="37.5" customHeight="1">
      <c r="A7" s="8" t="str">
        <f>IFERROR(__xludf.DUMMYFUNCTION("""COMPUTED_VALUE"""),"n033_transformation_adulthood.anm2")</f>
        <v>n033_transformation_adulthood.anm2</v>
      </c>
      <c r="B7" s="8">
        <f>IFERROR(__xludf.DUMMYFUNCTION("""COMPUTED_VALUE"""),38.0)</f>
        <v>38</v>
      </c>
      <c r="C7" s="8" t="str">
        <f>IFERROR(__xludf.DUMMYFUNCTION("""COMPUTED_VALUE"""),"none")</f>
        <v>none</v>
      </c>
      <c r="D7" s="8">
        <f>IFERROR(__xludf.DUMMYFUNCTION("""COMPUTED_VALUE"""),99.0)</f>
        <v>99</v>
      </c>
      <c r="E7" s="8" t="str">
        <f>IFERROR(__xludf.DUMMYFUNCTION("""COMPUTED_VALUE"""),"head2")</f>
        <v>head2</v>
      </c>
      <c r="F7" s="8" t="str">
        <f>IFERROR(__xludf.DUMMYFUNCTION("""COMPUTED_VALUE"""),"")</f>
        <v/>
      </c>
    </row>
    <row r="8" ht="37.5" customHeight="1">
      <c r="A8" s="8" t="str">
        <f>IFERROR(__xludf.DUMMYFUNCTION("""COMPUTED_VALUE"""),"049_shoop da whoop.anm2")</f>
        <v>049_shoop da whoop.anm2</v>
      </c>
      <c r="B8" s="8">
        <f>IFERROR(__xludf.DUMMYFUNCTION("""COMPUTED_VALUE"""),49.0)</f>
        <v>49</v>
      </c>
      <c r="C8" s="8" t="str">
        <f>IFERROR(__xludf.DUMMYFUNCTION("""COMPUTED_VALUE"""),"active")</f>
        <v>active</v>
      </c>
      <c r="D8" s="8">
        <f>IFERROR(__xludf.DUMMYFUNCTION("""COMPUTED_VALUE"""),30.0)</f>
        <v>30</v>
      </c>
      <c r="E8" s="8" t="str">
        <f>IFERROR(__xludf.DUMMYFUNCTION("""COMPUTED_VALUE"""),"head2")</f>
        <v>head2</v>
      </c>
      <c r="F8" s="8" t="str">
        <f>IFERROR(__xludf.DUMMYFUNCTION("""COMPUTED_VALUE"""),"")</f>
        <v/>
      </c>
    </row>
    <row r="9" ht="37.5" customHeight="1">
      <c r="A9" s="8" t="str">
        <f>IFERROR(__xludf.DUMMYFUNCTION("""COMPUTED_VALUE"""),"t53_tick.anm2")</f>
        <v>t53_tick.anm2</v>
      </c>
      <c r="B9" s="8">
        <f>IFERROR(__xludf.DUMMYFUNCTION("""COMPUTED_VALUE"""),53.0)</f>
        <v>53</v>
      </c>
      <c r="C9" s="8" t="str">
        <f>IFERROR(__xludf.DUMMYFUNCTION("""COMPUTED_VALUE"""),"trinket")</f>
        <v>trinket</v>
      </c>
      <c r="D9" s="8">
        <f>IFERROR(__xludf.DUMMYFUNCTION("""COMPUTED_VALUE"""),0.0)</f>
        <v>0</v>
      </c>
      <c r="E9" s="8" t="str">
        <f>IFERROR(__xludf.DUMMYFUNCTION("""COMPUTED_VALUE"""),"head2")</f>
        <v>head2</v>
      </c>
      <c r="F9" s="8" t="str">
        <f>IFERROR(__xludf.DUMMYFUNCTION("""COMPUTED_VALUE"""),"")</f>
        <v/>
      </c>
    </row>
    <row r="10" ht="37.5" customHeight="1">
      <c r="A10" s="8" t="str">
        <f>IFERROR(__xludf.DUMMYFUNCTION("""COMPUTED_VALUE"""),"663_toothandnail_statue.anm2")</f>
        <v>663_toothandnail_statue.anm2</v>
      </c>
      <c r="B10" s="8">
        <f>IFERROR(__xludf.DUMMYFUNCTION("""COMPUTED_VALUE"""),59.0)</f>
        <v>59</v>
      </c>
      <c r="C10" s="8" t="str">
        <f>IFERROR(__xludf.DUMMYFUNCTION("""COMPUTED_VALUE"""),"none")</f>
        <v>none</v>
      </c>
      <c r="D10" s="8">
        <f>IFERROR(__xludf.DUMMYFUNCTION("""COMPUTED_VALUE"""),51.0)</f>
        <v>51</v>
      </c>
      <c r="E10" s="8" t="str">
        <f>IFERROR(__xludf.DUMMYFUNCTION("""COMPUTED_VALUE"""),"head2")</f>
        <v>head2</v>
      </c>
      <c r="F10" s="8" t="str">
        <f>IFERROR(__xludf.DUMMYFUNCTION("""COMPUTED_VALUE"""),"")</f>
        <v/>
      </c>
    </row>
    <row r="11" ht="37.5" customHeight="1">
      <c r="A11" s="8" t="str">
        <f>IFERROR(__xludf.DUMMYFUNCTION("""COMPUTED_VALUE"""),"063_the battery.anm2")</f>
        <v>063_the battery.anm2</v>
      </c>
      <c r="B11" s="8">
        <f>IFERROR(__xludf.DUMMYFUNCTION("""COMPUTED_VALUE"""),63.0)</f>
        <v>63</v>
      </c>
      <c r="C11" s="8" t="str">
        <f>IFERROR(__xludf.DUMMYFUNCTION("""COMPUTED_VALUE"""),"passive")</f>
        <v>passive</v>
      </c>
      <c r="D11" s="8">
        <f>IFERROR(__xludf.DUMMYFUNCTION("""COMPUTED_VALUE"""),0.0)</f>
        <v>0</v>
      </c>
      <c r="E11" s="8" t="str">
        <f>IFERROR(__xludf.DUMMYFUNCTION("""COMPUTED_VALUE"""),"head2")</f>
        <v>head2</v>
      </c>
      <c r="F11" s="8" t="str">
        <f>IFERROR(__xludf.DUMMYFUNCTION("""COMPUTED_VALUE"""),"")</f>
        <v/>
      </c>
    </row>
    <row r="12" ht="37.5" customHeight="1">
      <c r="A12" s="8" t="str">
        <f>IFERROR(__xludf.DUMMYFUNCTION("""COMPUTED_VALUE"""),"n_reverse_chariot.anm2")</f>
        <v>n_reverse_chariot.anm2</v>
      </c>
      <c r="B12" s="8">
        <f>IFERROR(__xludf.DUMMYFUNCTION("""COMPUTED_VALUE"""),63.0)</f>
        <v>63</v>
      </c>
      <c r="C12" s="8" t="str">
        <f>IFERROR(__xludf.DUMMYFUNCTION("""COMPUTED_VALUE"""),"none")</f>
        <v>none</v>
      </c>
      <c r="D12" s="8">
        <f>IFERROR(__xludf.DUMMYFUNCTION("""COMPUTED_VALUE"""),51.0)</f>
        <v>51</v>
      </c>
      <c r="E12" s="8" t="str">
        <f>IFERROR(__xludf.DUMMYFUNCTION("""COMPUTED_VALUE"""),"head2")</f>
        <v>head2</v>
      </c>
      <c r="F12" s="8" t="str">
        <f>IFERROR(__xludf.DUMMYFUNCTION("""COMPUTED_VALUE"""),"")</f>
        <v/>
      </c>
    </row>
    <row r="13" ht="37.5" customHeight="1">
      <c r="A13" s="8" t="str">
        <f>IFERROR(__xludf.DUMMYFUNCTION("""COMPUTED_VALUE"""),"064_steam sale.anm2")</f>
        <v>064_steam sale.anm2</v>
      </c>
      <c r="B13" s="8">
        <f>IFERROR(__xludf.DUMMYFUNCTION("""COMPUTED_VALUE"""),64.0)</f>
        <v>64</v>
      </c>
      <c r="C13" s="8" t="str">
        <f>IFERROR(__xludf.DUMMYFUNCTION("""COMPUTED_VALUE"""),"passive")</f>
        <v>passive</v>
      </c>
      <c r="D13" s="8">
        <f>IFERROR(__xludf.DUMMYFUNCTION("""COMPUTED_VALUE"""),0.0)</f>
        <v>0</v>
      </c>
      <c r="E13" s="8" t="str">
        <f>IFERROR(__xludf.DUMMYFUNCTION("""COMPUTED_VALUE"""),"head2")</f>
        <v>head2</v>
      </c>
      <c r="F13" s="8" t="str">
        <f>IFERROR(__xludf.DUMMYFUNCTION("""COMPUTED_VALUE"""),"")</f>
        <v/>
      </c>
    </row>
    <row r="14" ht="37.5" customHeight="1">
      <c r="A14" s="8" t="str">
        <f>IFERROR(__xludf.DUMMYFUNCTION("""COMPUTED_VALUE"""),"n_reverse_chariot_alt.anm2")</f>
        <v>n_reverse_chariot_alt.anm2</v>
      </c>
      <c r="B14" s="8">
        <f>IFERROR(__xludf.DUMMYFUNCTION("""COMPUTED_VALUE"""),68.0)</f>
        <v>68</v>
      </c>
      <c r="C14" s="8" t="str">
        <f>IFERROR(__xludf.DUMMYFUNCTION("""COMPUTED_VALUE"""),"none")</f>
        <v>none</v>
      </c>
      <c r="D14" s="8">
        <f>IFERROR(__xludf.DUMMYFUNCTION("""COMPUTED_VALUE"""),51.0)</f>
        <v>51</v>
      </c>
      <c r="E14" s="8" t="str">
        <f>IFERROR(__xludf.DUMMYFUNCTION("""COMPUTED_VALUE"""),"head2")</f>
        <v>head2</v>
      </c>
      <c r="F14" s="8" t="str">
        <f>IFERROR(__xludf.DUMMYFUNCTION("""COMPUTED_VALUE"""),"")</f>
        <v/>
      </c>
    </row>
    <row r="15" ht="37.5" customHeight="1">
      <c r="A15" s="8" t="str">
        <f>IFERROR(__xludf.DUMMYFUNCTION("""COMPUTED_VALUE"""),"075_phd.anm2")</f>
        <v>075_phd.anm2</v>
      </c>
      <c r="B15" s="8">
        <f>IFERROR(__xludf.DUMMYFUNCTION("""COMPUTED_VALUE"""),75.0)</f>
        <v>75</v>
      </c>
      <c r="C15" s="8" t="str">
        <f>IFERROR(__xludf.DUMMYFUNCTION("""COMPUTED_VALUE"""),"passive")</f>
        <v>passive</v>
      </c>
      <c r="D15" s="8">
        <f>IFERROR(__xludf.DUMMYFUNCTION("""COMPUTED_VALUE"""),0.0)</f>
        <v>0</v>
      </c>
      <c r="E15" s="8" t="str">
        <f>IFERROR(__xludf.DUMMYFUNCTION("""COMPUTED_VALUE"""),"head2")</f>
        <v>head2</v>
      </c>
      <c r="F15" s="8" t="str">
        <f>IFERROR(__xludf.DUMMYFUNCTION("""COMPUTED_VALUE"""),"")</f>
        <v/>
      </c>
    </row>
    <row r="16" ht="37.5" customHeight="1">
      <c r="A16" s="8" t="str">
        <f>IFERROR(__xludf.DUMMYFUNCTION("""COMPUTED_VALUE"""),"076_xray-vision.anm2")</f>
        <v>076_xray-vision.anm2</v>
      </c>
      <c r="B16" s="8">
        <f>IFERROR(__xludf.DUMMYFUNCTION("""COMPUTED_VALUE"""),76.0)</f>
        <v>76</v>
      </c>
      <c r="C16" s="8" t="str">
        <f>IFERROR(__xludf.DUMMYFUNCTION("""COMPUTED_VALUE"""),"passive")</f>
        <v>passive</v>
      </c>
      <c r="D16" s="8">
        <f>IFERROR(__xludf.DUMMYFUNCTION("""COMPUTED_VALUE"""),0.0)</f>
        <v>0</v>
      </c>
      <c r="E16" s="8" t="str">
        <f>IFERROR(__xludf.DUMMYFUNCTION("""COMPUTED_VALUE"""),"head2")</f>
        <v>head2</v>
      </c>
      <c r="F16" s="8" t="str">
        <f>IFERROR(__xludf.DUMMYFUNCTION("""COMPUTED_VALUE"""),"")</f>
        <v/>
      </c>
    </row>
    <row r="17" ht="37.5" customHeight="1">
      <c r="A17" s="8" t="str">
        <f>IFERROR(__xludf.DUMMYFUNCTION("""COMPUTED_VALUE"""),"090_the small rock.anm2")</f>
        <v>090_the small rock.anm2</v>
      </c>
      <c r="B17" s="8">
        <f>IFERROR(__xludf.DUMMYFUNCTION("""COMPUTED_VALUE"""),90.0)</f>
        <v>90</v>
      </c>
      <c r="C17" s="8" t="str">
        <f>IFERROR(__xludf.DUMMYFUNCTION("""COMPUTED_VALUE"""),"passive")</f>
        <v>passive</v>
      </c>
      <c r="D17" s="8">
        <f>IFERROR(__xludf.DUMMYFUNCTION("""COMPUTED_VALUE"""),0.0)</f>
        <v>0</v>
      </c>
      <c r="E17" s="8" t="str">
        <f>IFERROR(__xludf.DUMMYFUNCTION("""COMPUTED_VALUE"""),"head2")</f>
        <v>head2</v>
      </c>
      <c r="F17" s="8" t="str">
        <f>IFERROR(__xludf.DUMMYFUNCTION("""COMPUTED_VALUE"""),"")</f>
        <v/>
      </c>
    </row>
    <row r="18" ht="37.5" customHeight="1">
      <c r="A18" s="8" t="str">
        <f>IFERROR(__xludf.DUMMYFUNCTION("""COMPUTED_VALUE"""),"character_b13_keeper.anm2")</f>
        <v>character_b13_keeper.anm2</v>
      </c>
      <c r="B18" s="8">
        <f>IFERROR(__xludf.DUMMYFUNCTION("""COMPUTED_VALUE"""),91.0)</f>
        <v>91</v>
      </c>
      <c r="C18" s="8" t="str">
        <f>IFERROR(__xludf.DUMMYFUNCTION("""COMPUTED_VALUE"""),"none")</f>
        <v>none</v>
      </c>
      <c r="D18" s="8">
        <f>IFERROR(__xludf.DUMMYFUNCTION("""COMPUTED_VALUE"""),99.0)</f>
        <v>99</v>
      </c>
      <c r="E18" s="8" t="str">
        <f>IFERROR(__xludf.DUMMYFUNCTION("""COMPUTED_VALUE"""),"head2")</f>
        <v>head2</v>
      </c>
      <c r="F18" s="8" t="str">
        <f>IFERROR(__xludf.DUMMYFUNCTION("""COMPUTED_VALUE"""),"")</f>
        <v/>
      </c>
    </row>
    <row r="19" ht="37.5" customHeight="1">
      <c r="A19" s="8" t="str">
        <f>IFERROR(__xludf.DUMMYFUNCTION("""COMPUTED_VALUE"""),"093_the gamekid.anm2")</f>
        <v>093_the gamekid.anm2</v>
      </c>
      <c r="B19" s="8">
        <f>IFERROR(__xludf.DUMMYFUNCTION("""COMPUTED_VALUE"""),93.0)</f>
        <v>93</v>
      </c>
      <c r="C19" s="8" t="str">
        <f>IFERROR(__xludf.DUMMYFUNCTION("""COMPUTED_VALUE"""),"active")</f>
        <v>active</v>
      </c>
      <c r="D19" s="8">
        <f>IFERROR(__xludf.DUMMYFUNCTION("""COMPUTED_VALUE"""),100.0)</f>
        <v>100</v>
      </c>
      <c r="E19" s="8" t="str">
        <f>IFERROR(__xludf.DUMMYFUNCTION("""COMPUTED_VALUE"""),"head2")</f>
        <v>head2</v>
      </c>
      <c r="F19" s="8" t="str">
        <f>IFERROR(__xludf.DUMMYFUNCTION("""COMPUTED_VALUE"""),"")</f>
        <v/>
      </c>
    </row>
    <row r="20" ht="37.5" customHeight="1">
      <c r="A20" s="8" t="str">
        <f>IFERROR(__xludf.DUMMYFUNCTION("""COMPUTED_VALUE"""),"110_moms contacts.anm2")</f>
        <v>110_moms contacts.anm2</v>
      </c>
      <c r="B20" s="8">
        <f>IFERROR(__xludf.DUMMYFUNCTION("""COMPUTED_VALUE"""),110.0)</f>
        <v>110</v>
      </c>
      <c r="C20" s="8" t="str">
        <f>IFERROR(__xludf.DUMMYFUNCTION("""COMPUTED_VALUE"""),"passive")</f>
        <v>passive</v>
      </c>
      <c r="D20" s="8">
        <f>IFERROR(__xludf.DUMMYFUNCTION("""COMPUTED_VALUE"""),0.0)</f>
        <v>0</v>
      </c>
      <c r="E20" s="8" t="str">
        <f>IFERROR(__xludf.DUMMYFUNCTION("""COMPUTED_VALUE"""),"head2")</f>
        <v>head2</v>
      </c>
      <c r="F20" s="8" t="str">
        <f>IFERROR(__xludf.DUMMYFUNCTION("""COMPUTED_VALUE"""),"")</f>
        <v/>
      </c>
    </row>
    <row r="21" ht="37.5" customHeight="1">
      <c r="A21" s="8" t="str">
        <f>IFERROR(__xludf.DUMMYFUNCTION("""COMPUTED_VALUE"""),"n_double_guppyseye.anm2")</f>
        <v>n_double_guppyseye.anm2</v>
      </c>
      <c r="B21" s="8">
        <f>IFERROR(__xludf.DUMMYFUNCTION("""COMPUTED_VALUE"""),125.0)</f>
        <v>125</v>
      </c>
      <c r="C21" s="8" t="str">
        <f>IFERROR(__xludf.DUMMYFUNCTION("""COMPUTED_VALUE"""),"none")</f>
        <v>none</v>
      </c>
      <c r="D21" s="8">
        <f>IFERROR(__xludf.DUMMYFUNCTION("""COMPUTED_VALUE"""),0.0)</f>
        <v>0</v>
      </c>
      <c r="E21" s="8" t="str">
        <f>IFERROR(__xludf.DUMMYFUNCTION("""COMPUTED_VALUE"""),"head2")</f>
        <v>head2</v>
      </c>
      <c r="F21" s="8" t="str">
        <f>IFERROR(__xludf.DUMMYFUNCTION("""COMPUTED_VALUE"""),"")</f>
        <v/>
      </c>
    </row>
    <row r="22" ht="37.5" customHeight="1">
      <c r="A22" s="8" t="str">
        <f>IFERROR(__xludf.DUMMYFUNCTION("""COMPUTED_VALUE"""),"n_double_glasseye.anm2")</f>
        <v>n_double_glasseye.anm2</v>
      </c>
      <c r="B22" s="8">
        <f>IFERROR(__xludf.DUMMYFUNCTION("""COMPUTED_VALUE"""),126.0)</f>
        <v>126</v>
      </c>
      <c r="C22" s="8" t="str">
        <f>IFERROR(__xludf.DUMMYFUNCTION("""COMPUTED_VALUE"""),"none")</f>
        <v>none</v>
      </c>
      <c r="D22" s="8">
        <f>IFERROR(__xludf.DUMMYFUNCTION("""COMPUTED_VALUE"""),0.0)</f>
        <v>0</v>
      </c>
      <c r="E22" s="8" t="str">
        <f>IFERROR(__xludf.DUMMYFUNCTION("""COMPUTED_VALUE"""),"head2")</f>
        <v>head2</v>
      </c>
      <c r="F22" s="8" t="str">
        <f>IFERROR(__xludf.DUMMYFUNCTION("""COMPUTED_VALUE"""),"")</f>
        <v/>
      </c>
    </row>
    <row r="23" ht="37.5" customHeight="1">
      <c r="A23" s="8" t="str">
        <f>IFERROR(__xludf.DUMMYFUNCTION("""COMPUTED_VALUE"""),"132_a lump of coal.anm2")</f>
        <v>132_a lump of coal.anm2</v>
      </c>
      <c r="B23" s="8">
        <f>IFERROR(__xludf.DUMMYFUNCTION("""COMPUTED_VALUE"""),132.0)</f>
        <v>132</v>
      </c>
      <c r="C23" s="8" t="str">
        <f>IFERROR(__xludf.DUMMYFUNCTION("""COMPUTED_VALUE"""),"passive")</f>
        <v>passive</v>
      </c>
      <c r="D23" s="8">
        <f>IFERROR(__xludf.DUMMYFUNCTION("""COMPUTED_VALUE"""),0.0)</f>
        <v>0</v>
      </c>
      <c r="E23" s="8" t="str">
        <f>IFERROR(__xludf.DUMMYFUNCTION("""COMPUTED_VALUE"""),"head2")</f>
        <v>head2</v>
      </c>
      <c r="F23" s="8" t="str">
        <f>IFERROR(__xludf.DUMMYFUNCTION("""COMPUTED_VALUE"""),"")</f>
        <v/>
      </c>
    </row>
    <row r="24" ht="37.5" customHeight="1">
      <c r="A24" s="8" t="str">
        <f>IFERROR(__xludf.DUMMYFUNCTION("""COMPUTED_VALUE"""),"152_technology 2.anm2")</f>
        <v>152_technology 2.anm2</v>
      </c>
      <c r="B24" s="8">
        <f>IFERROR(__xludf.DUMMYFUNCTION("""COMPUTED_VALUE"""),152.0)</f>
        <v>152</v>
      </c>
      <c r="C24" s="8" t="str">
        <f>IFERROR(__xludf.DUMMYFUNCTION("""COMPUTED_VALUE"""),"passive")</f>
        <v>passive</v>
      </c>
      <c r="D24" s="8">
        <f>IFERROR(__xludf.DUMMYFUNCTION("""COMPUTED_VALUE"""),0.0)</f>
        <v>0</v>
      </c>
      <c r="E24" s="8" t="str">
        <f>IFERROR(__xludf.DUMMYFUNCTION("""COMPUTED_VALUE"""),"head2")</f>
        <v>head2</v>
      </c>
      <c r="F24" s="8" t="str">
        <f>IFERROR(__xludf.DUMMYFUNCTION("""COMPUTED_VALUE"""),"")</f>
        <v/>
      </c>
    </row>
    <row r="25" ht="37.5" customHeight="1">
      <c r="A25" s="8" t="str">
        <f>IFERROR(__xludf.DUMMYFUNCTION("""COMPUTED_VALUE"""),"182_sacred heart.anm2")</f>
        <v>182_sacred heart.anm2</v>
      </c>
      <c r="B25" s="8">
        <f>IFERROR(__xludf.DUMMYFUNCTION("""COMPUTED_VALUE"""),182.0)</f>
        <v>182</v>
      </c>
      <c r="C25" s="8" t="str">
        <f>IFERROR(__xludf.DUMMYFUNCTION("""COMPUTED_VALUE"""),"passive")</f>
        <v>passive</v>
      </c>
      <c r="D25" s="8">
        <f>IFERROR(__xludf.DUMMYFUNCTION("""COMPUTED_VALUE"""),0.0)</f>
        <v>0</v>
      </c>
      <c r="E25" s="8" t="str">
        <f>IFERROR(__xludf.DUMMYFUNCTION("""COMPUTED_VALUE"""),"head2")</f>
        <v>head2</v>
      </c>
      <c r="F25" s="8" t="str">
        <f>IFERROR(__xludf.DUMMYFUNCTION("""COMPUTED_VALUE"""),"")</f>
        <v/>
      </c>
    </row>
    <row r="26" ht="37.5" customHeight="1">
      <c r="A26" s="8" t="str">
        <f>IFERROR(__xludf.DUMMYFUNCTION("""COMPUTED_VALUE"""),"183_tooth picks.anm2")</f>
        <v>183_tooth picks.anm2</v>
      </c>
      <c r="B26" s="8">
        <f>IFERROR(__xludf.DUMMYFUNCTION("""COMPUTED_VALUE"""),183.0)</f>
        <v>183</v>
      </c>
      <c r="C26" s="8" t="str">
        <f>IFERROR(__xludf.DUMMYFUNCTION("""COMPUTED_VALUE"""),"passive")</f>
        <v>passive</v>
      </c>
      <c r="D26" s="8">
        <f>IFERROR(__xludf.DUMMYFUNCTION("""COMPUTED_VALUE"""),0.0)</f>
        <v>0</v>
      </c>
      <c r="E26" s="8" t="str">
        <f>IFERROR(__xludf.DUMMYFUNCTION("""COMPUTED_VALUE"""),"head2")</f>
        <v>head2</v>
      </c>
      <c r="F26" s="8" t="str">
        <f>IFERROR(__xludf.DUMMYFUNCTION("""COMPUTED_VALUE"""),"")</f>
        <v/>
      </c>
    </row>
    <row r="27" ht="37.5" customHeight="1">
      <c r="A27" s="8" t="str">
        <f>IFERROR(__xludf.DUMMYFUNCTION("""COMPUTED_VALUE"""),"107_pyro.anm2")</f>
        <v>107_pyro.anm2</v>
      </c>
      <c r="B27" s="8">
        <f>IFERROR(__xludf.DUMMYFUNCTION("""COMPUTED_VALUE"""),190.0)</f>
        <v>190</v>
      </c>
      <c r="C27" s="8" t="str">
        <f>IFERROR(__xludf.DUMMYFUNCTION("""COMPUTED_VALUE"""),"passive")</f>
        <v>passive</v>
      </c>
      <c r="D27" s="8">
        <f>IFERROR(__xludf.DUMMYFUNCTION("""COMPUTED_VALUE"""),0.0)</f>
        <v>0</v>
      </c>
      <c r="E27" s="8" t="str">
        <f>IFERROR(__xludf.DUMMYFUNCTION("""COMPUTED_VALUE"""),"head2")</f>
        <v>head2</v>
      </c>
      <c r="F27" s="8" t="str">
        <f>IFERROR(__xludf.DUMMYFUNCTION("""COMPUTED_VALUE"""),"")</f>
        <v/>
      </c>
    </row>
    <row r="28" ht="37.5" customHeight="1">
      <c r="A28" s="8" t="str">
        <f>IFERROR(__xludf.DUMMYFUNCTION("""COMPUTED_VALUE"""),"201_ironbar.anm2")</f>
        <v>201_ironbar.anm2</v>
      </c>
      <c r="B28" s="8">
        <f>IFERROR(__xludf.DUMMYFUNCTION("""COMPUTED_VALUE"""),201.0)</f>
        <v>201</v>
      </c>
      <c r="C28" s="8" t="str">
        <f>IFERROR(__xludf.DUMMYFUNCTION("""COMPUTED_VALUE"""),"passive")</f>
        <v>passive</v>
      </c>
      <c r="D28" s="8">
        <f>IFERROR(__xludf.DUMMYFUNCTION("""COMPUTED_VALUE"""),0.0)</f>
        <v>0</v>
      </c>
      <c r="E28" s="8" t="str">
        <f>IFERROR(__xludf.DUMMYFUNCTION("""COMPUTED_VALUE"""),"head2")</f>
        <v>head2</v>
      </c>
      <c r="F28" s="8" t="str">
        <f>IFERROR(__xludf.DUMMYFUNCTION("""COMPUTED_VALUE"""),"")</f>
        <v/>
      </c>
    </row>
    <row r="29" ht="37.5" customHeight="1">
      <c r="A29" s="8" t="str">
        <f>IFERROR(__xludf.DUMMYFUNCTION("""COMPUTED_VALUE"""),"212_guppyscollar.anm2")</f>
        <v>212_guppyscollar.anm2</v>
      </c>
      <c r="B29" s="8">
        <f>IFERROR(__xludf.DUMMYFUNCTION("""COMPUTED_VALUE"""),212.0)</f>
        <v>212</v>
      </c>
      <c r="C29" s="8" t="str">
        <f>IFERROR(__xludf.DUMMYFUNCTION("""COMPUTED_VALUE"""),"passive")</f>
        <v>passive</v>
      </c>
      <c r="D29" s="8">
        <f>IFERROR(__xludf.DUMMYFUNCTION("""COMPUTED_VALUE"""),0.0)</f>
        <v>0</v>
      </c>
      <c r="E29" s="8" t="str">
        <f>IFERROR(__xludf.DUMMYFUNCTION("""COMPUTED_VALUE"""),"head2")</f>
        <v>head2</v>
      </c>
      <c r="F29" s="8" t="str">
        <f>IFERROR(__xludf.DUMMYFUNCTION("""COMPUTED_VALUE"""),"")</f>
        <v/>
      </c>
    </row>
    <row r="30" ht="37.5" customHeight="1">
      <c r="A30" s="8" t="str">
        <f>IFERROR(__xludf.DUMMYFUNCTION("""COMPUTED_VALUE"""),"213_lostcontact.anm2")</f>
        <v>213_lostcontact.anm2</v>
      </c>
      <c r="B30" s="8">
        <f>IFERROR(__xludf.DUMMYFUNCTION("""COMPUTED_VALUE"""),213.0)</f>
        <v>213</v>
      </c>
      <c r="C30" s="8" t="str">
        <f>IFERROR(__xludf.DUMMYFUNCTION("""COMPUTED_VALUE"""),"passive")</f>
        <v>passive</v>
      </c>
      <c r="D30" s="8">
        <f>IFERROR(__xludf.DUMMYFUNCTION("""COMPUTED_VALUE"""),0.0)</f>
        <v>0</v>
      </c>
      <c r="E30" s="8" t="str">
        <f>IFERROR(__xludf.DUMMYFUNCTION("""COMPUTED_VALUE"""),"head2")</f>
        <v>head2</v>
      </c>
      <c r="F30" s="8" t="str">
        <f>IFERROR(__xludf.DUMMYFUNCTION("""COMPUTED_VALUE"""),"")</f>
        <v/>
      </c>
    </row>
    <row r="31" ht="37.5" customHeight="1">
      <c r="A31" s="8" t="str">
        <f>IFERROR(__xludf.DUMMYFUNCTION("""COMPUTED_VALUE"""),"214_anemic.anm2")</f>
        <v>214_anemic.anm2</v>
      </c>
      <c r="B31" s="8">
        <f>IFERROR(__xludf.DUMMYFUNCTION("""COMPUTED_VALUE"""),214.0)</f>
        <v>214</v>
      </c>
      <c r="C31" s="8" t="str">
        <f>IFERROR(__xludf.DUMMYFUNCTION("""COMPUTED_VALUE"""),"passive")</f>
        <v>passive</v>
      </c>
      <c r="D31" s="8">
        <f>IFERROR(__xludf.DUMMYFUNCTION("""COMPUTED_VALUE"""),0.0)</f>
        <v>0</v>
      </c>
      <c r="E31" s="8" t="str">
        <f>IFERROR(__xludf.DUMMYFUNCTION("""COMPUTED_VALUE"""),"head2")</f>
        <v>head2</v>
      </c>
      <c r="F31" s="8" t="str">
        <f>IFERROR(__xludf.DUMMYFUNCTION("""COMPUTED_VALUE"""),"")</f>
        <v/>
      </c>
    </row>
    <row r="32" ht="37.5" customHeight="1">
      <c r="A32" s="8" t="str">
        <f>IFERROR(__xludf.DUMMYFUNCTION("""COMPUTED_VALUE"""),"221_rubbercement.anm2")</f>
        <v>221_rubbercement.anm2</v>
      </c>
      <c r="B32" s="8">
        <f>IFERROR(__xludf.DUMMYFUNCTION("""COMPUTED_VALUE"""),221.0)</f>
        <v>221</v>
      </c>
      <c r="C32" s="8" t="str">
        <f>IFERROR(__xludf.DUMMYFUNCTION("""COMPUTED_VALUE"""),"passive")</f>
        <v>passive</v>
      </c>
      <c r="D32" s="8">
        <f>IFERROR(__xludf.DUMMYFUNCTION("""COMPUTED_VALUE"""),0.0)</f>
        <v>0</v>
      </c>
      <c r="E32" s="8" t="str">
        <f>IFERROR(__xludf.DUMMYFUNCTION("""COMPUTED_VALUE"""),"head2")</f>
        <v>head2</v>
      </c>
      <c r="F32" s="8" t="str">
        <f>IFERROR(__xludf.DUMMYFUNCTION("""COMPUTED_VALUE"""),"")</f>
        <v/>
      </c>
    </row>
    <row r="33" ht="37.5" customHeight="1">
      <c r="A33" s="8" t="str">
        <f>IFERROR(__xludf.DUMMYFUNCTION("""COMPUTED_VALUE"""),"225_gimpy.anm2")</f>
        <v>225_gimpy.anm2</v>
      </c>
      <c r="B33" s="8">
        <f>IFERROR(__xludf.DUMMYFUNCTION("""COMPUTED_VALUE"""),225.0)</f>
        <v>225</v>
      </c>
      <c r="C33" s="8" t="str">
        <f>IFERROR(__xludf.DUMMYFUNCTION("""COMPUTED_VALUE"""),"passive")</f>
        <v>passive</v>
      </c>
      <c r="D33" s="8">
        <f>IFERROR(__xludf.DUMMYFUNCTION("""COMPUTED_VALUE"""),0.0)</f>
        <v>0</v>
      </c>
      <c r="E33" s="8" t="str">
        <f>IFERROR(__xludf.DUMMYFUNCTION("""COMPUTED_VALUE"""),"head2")</f>
        <v>head2</v>
      </c>
      <c r="F33" s="8" t="str">
        <f>IFERROR(__xludf.DUMMYFUNCTION("""COMPUTED_VALUE"""),"")</f>
        <v/>
      </c>
    </row>
    <row r="34" ht="37.5" customHeight="1">
      <c r="A34" s="8" t="str">
        <f>IFERROR(__xludf.DUMMYFUNCTION("""COMPUTED_VALUE"""),"228_moms perfume.anm2")</f>
        <v>228_moms perfume.anm2</v>
      </c>
      <c r="B34" s="8">
        <f>IFERROR(__xludf.DUMMYFUNCTION("""COMPUTED_VALUE"""),228.0)</f>
        <v>228</v>
      </c>
      <c r="C34" s="8" t="str">
        <f>IFERROR(__xludf.DUMMYFUNCTION("""COMPUTED_VALUE"""),"passive")</f>
        <v>passive</v>
      </c>
      <c r="D34" s="8">
        <f>IFERROR(__xludf.DUMMYFUNCTION("""COMPUTED_VALUE"""),0.0)</f>
        <v>0</v>
      </c>
      <c r="E34" s="8" t="str">
        <f>IFERROR(__xludf.DUMMYFUNCTION("""COMPUTED_VALUE"""),"head2")</f>
        <v>head2</v>
      </c>
      <c r="F34" s="8" t="str">
        <f>IFERROR(__xludf.DUMMYFUNCTION("""COMPUTED_VALUE"""),"")</f>
        <v/>
      </c>
    </row>
    <row r="35" ht="37.5" customHeight="1">
      <c r="A35" s="8" t="str">
        <f>IFERROR(__xludf.DUMMYFUNCTION("""COMPUTED_VALUE"""),"241_contractfrombelow.anm2")</f>
        <v>241_contractfrombelow.anm2</v>
      </c>
      <c r="B35" s="8">
        <f>IFERROR(__xludf.DUMMYFUNCTION("""COMPUTED_VALUE"""),241.0)</f>
        <v>241</v>
      </c>
      <c r="C35" s="8" t="str">
        <f>IFERROR(__xludf.DUMMYFUNCTION("""COMPUTED_VALUE"""),"passive")</f>
        <v>passive</v>
      </c>
      <c r="D35" s="8">
        <f>IFERROR(__xludf.DUMMYFUNCTION("""COMPUTED_VALUE"""),0.0)</f>
        <v>0</v>
      </c>
      <c r="E35" s="8" t="str">
        <f>IFERROR(__xludf.DUMMYFUNCTION("""COMPUTED_VALUE"""),"head2")</f>
        <v>head2</v>
      </c>
      <c r="F35" s="8" t="str">
        <f>IFERROR(__xludf.DUMMYFUNCTION("""COMPUTED_VALUE"""),"")</f>
        <v/>
      </c>
    </row>
    <row r="36" ht="37.5" customHeight="1">
      <c r="A36" s="8" t="str">
        <f>IFERROR(__xludf.DUMMYFUNCTION("""COMPUTED_VALUE"""),"245_2020.anm2")</f>
        <v>245_2020.anm2</v>
      </c>
      <c r="B36" s="8">
        <f>IFERROR(__xludf.DUMMYFUNCTION("""COMPUTED_VALUE"""),245.0)</f>
        <v>245</v>
      </c>
      <c r="C36" s="8" t="str">
        <f>IFERROR(__xludf.DUMMYFUNCTION("""COMPUTED_VALUE"""),"passive")</f>
        <v>passive</v>
      </c>
      <c r="D36" s="8">
        <f>IFERROR(__xludf.DUMMYFUNCTION("""COMPUTED_VALUE"""),0.0)</f>
        <v>0</v>
      </c>
      <c r="E36" s="8" t="str">
        <f>IFERROR(__xludf.DUMMYFUNCTION("""COMPUTED_VALUE"""),"head2")</f>
        <v>head2</v>
      </c>
      <c r="F36" s="8" t="str">
        <f>IFERROR(__xludf.DUMMYFUNCTION("""COMPUTED_VALUE"""),"")</f>
        <v/>
      </c>
    </row>
    <row r="37" ht="37.5" customHeight="1">
      <c r="A37" s="8" t="str">
        <f>IFERROR(__xludf.DUMMYFUNCTION("""COMPUTED_VALUE"""),"253_magicscab.anm2")</f>
        <v>253_magicscab.anm2</v>
      </c>
      <c r="B37" s="8">
        <f>IFERROR(__xludf.DUMMYFUNCTION("""COMPUTED_VALUE"""),253.0)</f>
        <v>253</v>
      </c>
      <c r="C37" s="8" t="str">
        <f>IFERROR(__xludf.DUMMYFUNCTION("""COMPUTED_VALUE"""),"passive")</f>
        <v>passive</v>
      </c>
      <c r="D37" s="8">
        <f>IFERROR(__xludf.DUMMYFUNCTION("""COMPUTED_VALUE"""),0.0)</f>
        <v>0</v>
      </c>
      <c r="E37" s="8" t="str">
        <f>IFERROR(__xludf.DUMMYFUNCTION("""COMPUTED_VALUE"""),"head2")</f>
        <v>head2</v>
      </c>
      <c r="F37" s="8" t="str">
        <f>IFERROR(__xludf.DUMMYFUNCTION("""COMPUTED_VALUE"""),"")</f>
        <v/>
      </c>
    </row>
    <row r="38" ht="37.5" customHeight="1">
      <c r="A38" s="8" t="str">
        <f>IFERROR(__xludf.DUMMYFUNCTION("""COMPUTED_VALUE"""),"254_bloodclot.anm2")</f>
        <v>254_bloodclot.anm2</v>
      </c>
      <c r="B38" s="8">
        <f>IFERROR(__xludf.DUMMYFUNCTION("""COMPUTED_VALUE"""),254.0)</f>
        <v>254</v>
      </c>
      <c r="C38" s="8" t="str">
        <f>IFERROR(__xludf.DUMMYFUNCTION("""COMPUTED_VALUE"""),"passive")</f>
        <v>passive</v>
      </c>
      <c r="D38" s="8">
        <f>IFERROR(__xludf.DUMMYFUNCTION("""COMPUTED_VALUE"""),0.0)</f>
        <v>0</v>
      </c>
      <c r="E38" s="8" t="str">
        <f>IFERROR(__xludf.DUMMYFUNCTION("""COMPUTED_VALUE"""),"head2")</f>
        <v>head2</v>
      </c>
      <c r="F38" s="8" t="str">
        <f>IFERROR(__xludf.DUMMYFUNCTION("""COMPUTED_VALUE"""),"")</f>
        <v/>
      </c>
      <c r="L38" s="9" t="s">
        <v>519</v>
      </c>
    </row>
    <row r="39" ht="37.5" customHeight="1">
      <c r="A39" s="8" t="str">
        <f>IFERROR(__xludf.DUMMYFUNCTION("""COMPUTED_VALUE"""),"259_darkmatter.anm2")</f>
        <v>259_darkmatter.anm2</v>
      </c>
      <c r="B39" s="8">
        <f>IFERROR(__xludf.DUMMYFUNCTION("""COMPUTED_VALUE"""),259.0)</f>
        <v>259</v>
      </c>
      <c r="C39" s="8" t="str">
        <f>IFERROR(__xludf.DUMMYFUNCTION("""COMPUTED_VALUE"""),"passive")</f>
        <v>passive</v>
      </c>
      <c r="D39" s="8">
        <f>IFERROR(__xludf.DUMMYFUNCTION("""COMPUTED_VALUE"""),0.0)</f>
        <v>0</v>
      </c>
      <c r="E39" s="8" t="str">
        <f>IFERROR(__xludf.DUMMYFUNCTION("""COMPUTED_VALUE"""),"head2")</f>
        <v>head2</v>
      </c>
      <c r="F39" s="8" t="str">
        <f>IFERROR(__xludf.DUMMYFUNCTION("""COMPUTED_VALUE"""),"")</f>
        <v/>
      </c>
    </row>
    <row r="40" ht="37.5" customHeight="1">
      <c r="A40" s="8" t="str">
        <f>IFERROR(__xludf.DUMMYFUNCTION("""COMPUTED_VALUE"""),"261_proptosis.anm2")</f>
        <v>261_proptosis.anm2</v>
      </c>
      <c r="B40" s="8">
        <f>IFERROR(__xludf.DUMMYFUNCTION("""COMPUTED_VALUE"""),261.0)</f>
        <v>261</v>
      </c>
      <c r="C40" s="8" t="str">
        <f>IFERROR(__xludf.DUMMYFUNCTION("""COMPUTED_VALUE"""),"passive")</f>
        <v>passive</v>
      </c>
      <c r="D40" s="8">
        <f>IFERROR(__xludf.DUMMYFUNCTION("""COMPUTED_VALUE"""),0.0)</f>
        <v>0</v>
      </c>
      <c r="E40" s="8" t="str">
        <f>IFERROR(__xludf.DUMMYFUNCTION("""COMPUTED_VALUE"""),"head2")</f>
        <v>head2</v>
      </c>
      <c r="F40" s="8" t="str">
        <f>IFERROR(__xludf.DUMMYFUNCTION("""COMPUTED_VALUE"""),"")</f>
        <v/>
      </c>
    </row>
    <row r="41" ht="37.5" customHeight="1">
      <c r="A41" s="8" t="str">
        <f>IFERROR(__xludf.DUMMYFUNCTION("""COMPUTED_VALUE"""),"267_robobaby20.anm2")</f>
        <v>267_robobaby20.anm2</v>
      </c>
      <c r="B41" s="8">
        <f>IFERROR(__xludf.DUMMYFUNCTION("""COMPUTED_VALUE"""),267.0)</f>
        <v>267</v>
      </c>
      <c r="C41" s="8" t="str">
        <f>IFERROR(__xludf.DUMMYFUNCTION("""COMPUTED_VALUE"""),"familiar")</f>
        <v>familiar</v>
      </c>
      <c r="D41" s="8">
        <f>IFERROR(__xludf.DUMMYFUNCTION("""COMPUTED_VALUE"""),0.0)</f>
        <v>0</v>
      </c>
      <c r="E41" s="8" t="str">
        <f>IFERROR(__xludf.DUMMYFUNCTION("""COMPUTED_VALUE"""),"head2")</f>
        <v>head2</v>
      </c>
      <c r="F41" s="8" t="str">
        <f>IFERROR(__xludf.DUMMYFUNCTION("""COMPUTED_VALUE"""),"")</f>
        <v/>
      </c>
    </row>
    <row r="42" ht="37.5" customHeight="1">
      <c r="A42" s="8" t="str">
        <f>IFERROR(__xludf.DUMMYFUNCTION("""COMPUTED_VALUE"""),"310_evesmascara.anm2")</f>
        <v>310_evesmascara.anm2</v>
      </c>
      <c r="B42" s="8">
        <f>IFERROR(__xludf.DUMMYFUNCTION("""COMPUTED_VALUE"""),310.0)</f>
        <v>310</v>
      </c>
      <c r="C42" s="8" t="str">
        <f>IFERROR(__xludf.DUMMYFUNCTION("""COMPUTED_VALUE"""),"passive")</f>
        <v>passive</v>
      </c>
      <c r="D42" s="8">
        <f>IFERROR(__xludf.DUMMYFUNCTION("""COMPUTED_VALUE"""),0.0)</f>
        <v>0</v>
      </c>
      <c r="E42" s="8" t="str">
        <f>IFERROR(__xludf.DUMMYFUNCTION("""COMPUTED_VALUE"""),"head2")</f>
        <v>head2</v>
      </c>
      <c r="F42" s="8" t="str">
        <f>IFERROR(__xludf.DUMMYFUNCTION("""COMPUTED_VALUE"""),"")</f>
        <v/>
      </c>
    </row>
    <row r="43" ht="37.5" customHeight="1">
      <c r="A43" s="8" t="str">
        <f>IFERROR(__xludf.DUMMYFUNCTION("""COMPUTED_VALUE"""),"316_cursedeye.anm2")</f>
        <v>316_cursedeye.anm2</v>
      </c>
      <c r="B43" s="8">
        <f>IFERROR(__xludf.DUMMYFUNCTION("""COMPUTED_VALUE"""),316.0)</f>
        <v>316</v>
      </c>
      <c r="C43" s="8" t="str">
        <f>IFERROR(__xludf.DUMMYFUNCTION("""COMPUTED_VALUE"""),"passive")</f>
        <v>passive</v>
      </c>
      <c r="D43" s="8">
        <f>IFERROR(__xludf.DUMMYFUNCTION("""COMPUTED_VALUE"""),0.0)</f>
        <v>0</v>
      </c>
      <c r="E43" s="8" t="str">
        <f>IFERROR(__xludf.DUMMYFUNCTION("""COMPUTED_VALUE"""),"head2")</f>
        <v>head2</v>
      </c>
      <c r="F43" s="8" t="str">
        <f>IFERROR(__xludf.DUMMYFUNCTION("""COMPUTED_VALUE"""),"")</f>
        <v/>
      </c>
    </row>
    <row r="44" ht="37.5" customHeight="1">
      <c r="A44" s="8" t="str">
        <f>IFERROR(__xludf.DUMMYFUNCTION("""COMPUTED_VALUE"""),"331_godhead.anm2")</f>
        <v>331_godhead.anm2</v>
      </c>
      <c r="B44" s="8">
        <f>IFERROR(__xludf.DUMMYFUNCTION("""COMPUTED_VALUE"""),331.0)</f>
        <v>331</v>
      </c>
      <c r="C44" s="8" t="str">
        <f>IFERROR(__xludf.DUMMYFUNCTION("""COMPUTED_VALUE"""),"passive")</f>
        <v>passive</v>
      </c>
      <c r="D44" s="8">
        <f>IFERROR(__xludf.DUMMYFUNCTION("""COMPUTED_VALUE"""),0.0)</f>
        <v>0</v>
      </c>
      <c r="E44" s="8" t="str">
        <f>IFERROR(__xludf.DUMMYFUNCTION("""COMPUTED_VALUE"""),"head2")</f>
        <v>head2</v>
      </c>
      <c r="F44" s="8" t="str">
        <f>IFERROR(__xludf.DUMMYFUNCTION("""COMPUTED_VALUE"""),"")</f>
        <v/>
      </c>
    </row>
    <row r="45" ht="37.5" customHeight="1">
      <c r="A45" s="8" t="str">
        <f>IFERROR(__xludf.DUMMYFUNCTION("""COMPUTED_VALUE"""),"339_safety pin.anm2")</f>
        <v>339_safety pin.anm2</v>
      </c>
      <c r="B45" s="8">
        <f>IFERROR(__xludf.DUMMYFUNCTION("""COMPUTED_VALUE"""),339.0)</f>
        <v>339</v>
      </c>
      <c r="C45" s="8" t="str">
        <f>IFERROR(__xludf.DUMMYFUNCTION("""COMPUTED_VALUE"""),"passive")</f>
        <v>passive</v>
      </c>
      <c r="D45" s="8">
        <f>IFERROR(__xludf.DUMMYFUNCTION("""COMPUTED_VALUE"""),0.0)</f>
        <v>0</v>
      </c>
      <c r="E45" s="8" t="str">
        <f>IFERROR(__xludf.DUMMYFUNCTION("""COMPUTED_VALUE"""),"head2")</f>
        <v>head2</v>
      </c>
      <c r="F45" s="8" t="str">
        <f>IFERROR(__xludf.DUMMYFUNCTION("""COMPUTED_VALUE"""),"")</f>
        <v/>
      </c>
    </row>
    <row r="46" ht="37.5" customHeight="1">
      <c r="A46" s="8" t="str">
        <f>IFERROR(__xludf.DUMMYFUNCTION("""COMPUTED_VALUE"""),"368_epiphora.anm2")</f>
        <v>368_epiphora.anm2</v>
      </c>
      <c r="B46" s="8">
        <f>IFERROR(__xludf.DUMMYFUNCTION("""COMPUTED_VALUE"""),368.0)</f>
        <v>368</v>
      </c>
      <c r="C46" s="8" t="str">
        <f>IFERROR(__xludf.DUMMYFUNCTION("""COMPUTED_VALUE"""),"passive")</f>
        <v>passive</v>
      </c>
      <c r="D46" s="8">
        <f>IFERROR(__xludf.DUMMYFUNCTION("""COMPUTED_VALUE"""),0.0)</f>
        <v>0</v>
      </c>
      <c r="E46" s="8" t="str">
        <f>IFERROR(__xludf.DUMMYFUNCTION("""COMPUTED_VALUE"""),"head2")</f>
        <v>head2</v>
      </c>
      <c r="F46" s="8" t="str">
        <f>IFERROR(__xludf.DUMMYFUNCTION("""COMPUTED_VALUE"""),"")</f>
        <v/>
      </c>
    </row>
    <row r="47" ht="37.5" customHeight="1">
      <c r="A47" s="8" t="str">
        <f>IFERROR(__xludf.DUMMYFUNCTION("""COMPUTED_VALUE"""),"373_deadeye.anm2")</f>
        <v>373_deadeye.anm2</v>
      </c>
      <c r="B47" s="8">
        <f>IFERROR(__xludf.DUMMYFUNCTION("""COMPUTED_VALUE"""),373.0)</f>
        <v>373</v>
      </c>
      <c r="C47" s="8" t="str">
        <f>IFERROR(__xludf.DUMMYFUNCTION("""COMPUTED_VALUE"""),"passive")</f>
        <v>passive</v>
      </c>
      <c r="D47" s="8">
        <f>IFERROR(__xludf.DUMMYFUNCTION("""COMPUTED_VALUE"""),0.0)</f>
        <v>0</v>
      </c>
      <c r="E47" s="8" t="str">
        <f>IFERROR(__xludf.DUMMYFUNCTION("""COMPUTED_VALUE"""),"head2")</f>
        <v>head2</v>
      </c>
      <c r="F47" s="8" t="str">
        <f>IFERROR(__xludf.DUMMYFUNCTION("""COMPUTED_VALUE"""),"")</f>
        <v/>
      </c>
    </row>
    <row r="48" ht="37.5" customHeight="1">
      <c r="A48" s="8" t="str">
        <f>IFERROR(__xludf.DUMMYFUNCTION("""COMPUTED_VALUE"""),"374_holylight.anm2")</f>
        <v>374_holylight.anm2</v>
      </c>
      <c r="B48" s="8">
        <f>IFERROR(__xludf.DUMMYFUNCTION("""COMPUTED_VALUE"""),374.0)</f>
        <v>374</v>
      </c>
      <c r="C48" s="8" t="str">
        <f>IFERROR(__xludf.DUMMYFUNCTION("""COMPUTED_VALUE"""),"passive")</f>
        <v>passive</v>
      </c>
      <c r="D48" s="8">
        <f>IFERROR(__xludf.DUMMYFUNCTION("""COMPUTED_VALUE"""),0.0)</f>
        <v>0</v>
      </c>
      <c r="E48" s="8" t="str">
        <f>IFERROR(__xludf.DUMMYFUNCTION("""COMPUTED_VALUE"""),"head2")</f>
        <v>head2</v>
      </c>
      <c r="F48" s="8" t="str">
        <f>IFERROR(__xludf.DUMMYFUNCTION("""COMPUTED_VALUE"""),"")</f>
        <v/>
      </c>
    </row>
    <row r="49" ht="37.5" customHeight="1">
      <c r="A49" s="8" t="str">
        <f>IFERROR(__xludf.DUMMYFUNCTION("""COMPUTED_VALUE"""),"380_paytoplay.anm2")</f>
        <v>380_paytoplay.anm2</v>
      </c>
      <c r="B49" s="8">
        <f>IFERROR(__xludf.DUMMYFUNCTION("""COMPUTED_VALUE"""),380.0)</f>
        <v>380</v>
      </c>
      <c r="C49" s="8" t="str">
        <f>IFERROR(__xludf.DUMMYFUNCTION("""COMPUTED_VALUE"""),"passive")</f>
        <v>passive</v>
      </c>
      <c r="D49" s="8">
        <f>IFERROR(__xludf.DUMMYFUNCTION("""COMPUTED_VALUE"""),0.0)</f>
        <v>0</v>
      </c>
      <c r="E49" s="8" t="str">
        <f>IFERROR(__xludf.DUMMYFUNCTION("""COMPUTED_VALUE"""),"head2")</f>
        <v>head2</v>
      </c>
      <c r="F49" s="8" t="str">
        <f>IFERROR(__xludf.DUMMYFUNCTION("""COMPUTED_VALUE"""),"")</f>
        <v/>
      </c>
    </row>
    <row r="50" ht="37.5" customHeight="1">
      <c r="A50" s="8" t="str">
        <f>IFERROR(__xludf.DUMMYFUNCTION("""COMPUTED_VALUE"""),"381_edensblessing.anm2")</f>
        <v>381_edensblessing.anm2</v>
      </c>
      <c r="B50" s="8">
        <f>IFERROR(__xludf.DUMMYFUNCTION("""COMPUTED_VALUE"""),381.0)</f>
        <v>381</v>
      </c>
      <c r="C50" s="8" t="str">
        <f>IFERROR(__xludf.DUMMYFUNCTION("""COMPUTED_VALUE"""),"passive")</f>
        <v>passive</v>
      </c>
      <c r="D50" s="8">
        <f>IFERROR(__xludf.DUMMYFUNCTION("""COMPUTED_VALUE"""),0.0)</f>
        <v>0</v>
      </c>
      <c r="E50" s="8" t="str">
        <f>IFERROR(__xludf.DUMMYFUNCTION("""COMPUTED_VALUE"""),"head2")</f>
        <v>head2</v>
      </c>
      <c r="F50" s="8" t="str">
        <f>IFERROR(__xludf.DUMMYFUNCTION("""COMPUTED_VALUE"""),"")</f>
        <v/>
      </c>
    </row>
    <row r="51" ht="37.5" customHeight="1">
      <c r="A51" s="8" t="str">
        <f>IFERROR(__xludf.DUMMYFUNCTION("""COMPUTED_VALUE"""),"397_tractorbeam.anm2")</f>
        <v>397_tractorbeam.anm2</v>
      </c>
      <c r="B51" s="8">
        <f>IFERROR(__xludf.DUMMYFUNCTION("""COMPUTED_VALUE"""),397.0)</f>
        <v>397</v>
      </c>
      <c r="C51" s="8" t="str">
        <f>IFERROR(__xludf.DUMMYFUNCTION("""COMPUTED_VALUE"""),"passive")</f>
        <v>passive</v>
      </c>
      <c r="D51" s="8">
        <f>IFERROR(__xludf.DUMMYFUNCTION("""COMPUTED_VALUE"""),0.0)</f>
        <v>0</v>
      </c>
      <c r="E51" s="8" t="str">
        <f>IFERROR(__xludf.DUMMYFUNCTION("""COMPUTED_VALUE"""),"head2")</f>
        <v>head2</v>
      </c>
      <c r="F51" s="8" t="str">
        <f>IFERROR(__xludf.DUMMYFUNCTION("""COMPUTED_VALUE"""),"")</f>
        <v/>
      </c>
    </row>
    <row r="52" ht="37.5" customHeight="1">
      <c r="A52" s="8" t="str">
        <f>IFERROR(__xludf.DUMMYFUNCTION("""COMPUTED_VALUE"""),"407_purity.anm2")</f>
        <v>407_purity.anm2</v>
      </c>
      <c r="B52" s="8">
        <f>IFERROR(__xludf.DUMMYFUNCTION("""COMPUTED_VALUE"""),407.0)</f>
        <v>407</v>
      </c>
      <c r="C52" s="8" t="str">
        <f>IFERROR(__xludf.DUMMYFUNCTION("""COMPUTED_VALUE"""),"passive")</f>
        <v>passive</v>
      </c>
      <c r="D52" s="8">
        <f>IFERROR(__xludf.DUMMYFUNCTION("""COMPUTED_VALUE"""),0.0)</f>
        <v>0</v>
      </c>
      <c r="E52" s="8" t="str">
        <f>IFERROR(__xludf.DUMMYFUNCTION("""COMPUTED_VALUE"""),"head2")</f>
        <v>head2</v>
      </c>
      <c r="F52" s="8" t="str">
        <f>IFERROR(__xludf.DUMMYFUNCTION("""COMPUTED_VALUE"""),"")</f>
        <v/>
      </c>
    </row>
    <row r="53" ht="37.5" customHeight="1">
      <c r="A53" s="8" t="str">
        <f>IFERROR(__xludf.DUMMYFUNCTION("""COMPUTED_VALUE"""),"429_headofthekeeper.anm2")</f>
        <v>429_headofthekeeper.anm2</v>
      </c>
      <c r="B53" s="8">
        <f>IFERROR(__xludf.DUMMYFUNCTION("""COMPUTED_VALUE"""),429.0)</f>
        <v>429</v>
      </c>
      <c r="C53" s="8" t="str">
        <f>IFERROR(__xludf.DUMMYFUNCTION("""COMPUTED_VALUE"""),"passive")</f>
        <v>passive</v>
      </c>
      <c r="D53" s="8">
        <f>IFERROR(__xludf.DUMMYFUNCTION("""COMPUTED_VALUE"""),0.0)</f>
        <v>0</v>
      </c>
      <c r="E53" s="8" t="str">
        <f>IFERROR(__xludf.DUMMYFUNCTION("""COMPUTED_VALUE"""),"head2")</f>
        <v>head2</v>
      </c>
      <c r="F53" s="8" t="str">
        <f>IFERROR(__xludf.DUMMYFUNCTION("""COMPUTED_VALUE"""),"")</f>
        <v/>
      </c>
    </row>
    <row r="54" ht="37.5" customHeight="1">
      <c r="A54" s="8" t="str">
        <f>IFERROR(__xludf.DUMMYFUNCTION("""COMPUTED_VALUE"""),"438_binky.anm2")</f>
        <v>438_binky.anm2</v>
      </c>
      <c r="B54" s="8">
        <f>IFERROR(__xludf.DUMMYFUNCTION("""COMPUTED_VALUE"""),438.0)</f>
        <v>438</v>
      </c>
      <c r="C54" s="8" t="str">
        <f>IFERROR(__xludf.DUMMYFUNCTION("""COMPUTED_VALUE"""),"passive")</f>
        <v>passive</v>
      </c>
      <c r="D54" s="8">
        <f>IFERROR(__xludf.DUMMYFUNCTION("""COMPUTED_VALUE"""),0.0)</f>
        <v>0</v>
      </c>
      <c r="E54" s="8" t="str">
        <f>IFERROR(__xludf.DUMMYFUNCTION("""COMPUTED_VALUE"""),"head2")</f>
        <v>head2</v>
      </c>
      <c r="F54" s="8" t="str">
        <f>IFERROR(__xludf.DUMMYFUNCTION("""COMPUTED_VALUE"""),"")</f>
        <v/>
      </c>
    </row>
    <row r="55" ht="37.5" customHeight="1">
      <c r="A55" s="8" t="str">
        <f>IFERROR(__xludf.DUMMYFUNCTION("""COMPUTED_VALUE"""),"444_leadpencil.anm2")</f>
        <v>444_leadpencil.anm2</v>
      </c>
      <c r="B55" s="8">
        <f>IFERROR(__xludf.DUMMYFUNCTION("""COMPUTED_VALUE"""),444.0)</f>
        <v>444</v>
      </c>
      <c r="C55" s="8" t="str">
        <f>IFERROR(__xludf.DUMMYFUNCTION("""COMPUTED_VALUE"""),"passive")</f>
        <v>passive</v>
      </c>
      <c r="D55" s="8">
        <f>IFERROR(__xludf.DUMMYFUNCTION("""COMPUTED_VALUE"""),0.0)</f>
        <v>0</v>
      </c>
      <c r="E55" s="8" t="str">
        <f>IFERROR(__xludf.DUMMYFUNCTION("""COMPUTED_VALUE"""),"head2")</f>
        <v>head2</v>
      </c>
      <c r="F55" s="8" t="str">
        <f>IFERROR(__xludf.DUMMYFUNCTION("""COMPUTED_VALUE"""),"")</f>
        <v/>
      </c>
    </row>
    <row r="56" ht="37.5" customHeight="1">
      <c r="A56" s="8" t="str">
        <f>IFERROR(__xludf.DUMMYFUNCTION("""COMPUTED_VALUE"""),"450_eyeofgreed.anm2")</f>
        <v>450_eyeofgreed.anm2</v>
      </c>
      <c r="B56" s="8">
        <f>IFERROR(__xludf.DUMMYFUNCTION("""COMPUTED_VALUE"""),450.0)</f>
        <v>450</v>
      </c>
      <c r="C56" s="8" t="str">
        <f>IFERROR(__xludf.DUMMYFUNCTION("""COMPUTED_VALUE"""),"passive")</f>
        <v>passive</v>
      </c>
      <c r="D56" s="8">
        <f>IFERROR(__xludf.DUMMYFUNCTION("""COMPUTED_VALUE"""),0.0)</f>
        <v>0</v>
      </c>
      <c r="E56" s="8" t="str">
        <f>IFERROR(__xludf.DUMMYFUNCTION("""COMPUTED_VALUE"""),"head2")</f>
        <v>head2</v>
      </c>
      <c r="F56" s="8" t="str">
        <f>IFERROR(__xludf.DUMMYFUNCTION("""COMPUTED_VALUE"""),"")</f>
        <v/>
      </c>
    </row>
    <row r="57" ht="37.5" customHeight="1">
      <c r="A57" s="8" t="str">
        <f>IFERROR(__xludf.DUMMYFUNCTION("""COMPUTED_VALUE"""),"455_dadslostcoin.anm2")</f>
        <v>455_dadslostcoin.anm2</v>
      </c>
      <c r="B57" s="8">
        <f>IFERROR(__xludf.DUMMYFUNCTION("""COMPUTED_VALUE"""),455.0)</f>
        <v>455</v>
      </c>
      <c r="C57" s="8" t="str">
        <f>IFERROR(__xludf.DUMMYFUNCTION("""COMPUTED_VALUE"""),"passive")</f>
        <v>passive</v>
      </c>
      <c r="D57" s="8">
        <f>IFERROR(__xludf.DUMMYFUNCTION("""COMPUTED_VALUE"""),0.0)</f>
        <v>0</v>
      </c>
      <c r="E57" s="8" t="str">
        <f>IFERROR(__xludf.DUMMYFUNCTION("""COMPUTED_VALUE"""),"head2")</f>
        <v>head2</v>
      </c>
      <c r="F57" s="8" t="str">
        <f>IFERROR(__xludf.DUMMYFUNCTION("""COMPUTED_VALUE"""),"")</f>
        <v/>
      </c>
    </row>
    <row r="58" ht="37.5" customHeight="1">
      <c r="A58" s="8" t="str">
        <f>IFERROR(__xludf.DUMMYFUNCTION("""COMPUTED_VALUE"""),"460_glaucoma.anm2")</f>
        <v>460_glaucoma.anm2</v>
      </c>
      <c r="B58" s="8">
        <f>IFERROR(__xludf.DUMMYFUNCTION("""COMPUTED_VALUE"""),460.0)</f>
        <v>460</v>
      </c>
      <c r="C58" s="8" t="str">
        <f>IFERROR(__xludf.DUMMYFUNCTION("""COMPUTED_VALUE"""),"passive")</f>
        <v>passive</v>
      </c>
      <c r="D58" s="8">
        <f>IFERROR(__xludf.DUMMYFUNCTION("""COMPUTED_VALUE"""),0.0)</f>
        <v>0</v>
      </c>
      <c r="E58" s="8" t="str">
        <f>IFERROR(__xludf.DUMMYFUNCTION("""COMPUTED_VALUE"""),"head2")</f>
        <v>head2</v>
      </c>
      <c r="F58" s="8" t="str">
        <f>IFERROR(__xludf.DUMMYFUNCTION("""COMPUTED_VALUE"""),"")</f>
        <v/>
      </c>
    </row>
    <row r="59" ht="37.5" customHeight="1">
      <c r="A59" s="8" t="str">
        <f>IFERROR(__xludf.DUMMYFUNCTION("""COMPUTED_VALUE"""),"507_sharpstraw.anm2")</f>
        <v>507_sharpstraw.anm2</v>
      </c>
      <c r="B59" s="8">
        <f>IFERROR(__xludf.DUMMYFUNCTION("""COMPUTED_VALUE"""),507.0)</f>
        <v>507</v>
      </c>
      <c r="C59" s="8" t="str">
        <f>IFERROR(__xludf.DUMMYFUNCTION("""COMPUTED_VALUE"""),"passive")</f>
        <v>passive</v>
      </c>
      <c r="D59" s="8">
        <f>IFERROR(__xludf.DUMMYFUNCTION("""COMPUTED_VALUE"""),0.0)</f>
        <v>0</v>
      </c>
      <c r="E59" s="8" t="str">
        <f>IFERROR(__xludf.DUMMYFUNCTION("""COMPUTED_VALUE"""),"head2")</f>
        <v>head2</v>
      </c>
      <c r="F59" s="8" t="str">
        <f>IFERROR(__xludf.DUMMYFUNCTION("""COMPUTED_VALUE"""),"")</f>
        <v/>
      </c>
    </row>
    <row r="60" ht="37.5" customHeight="1">
      <c r="A60" s="8" t="str">
        <f>IFERROR(__xludf.DUMMYFUNCTION("""COMPUTED_VALUE"""),"524_technologyzero.anm2")</f>
        <v>524_technologyzero.anm2</v>
      </c>
      <c r="B60" s="8">
        <f>IFERROR(__xludf.DUMMYFUNCTION("""COMPUTED_VALUE"""),524.0)</f>
        <v>524</v>
      </c>
      <c r="C60" s="8" t="str">
        <f>IFERROR(__xludf.DUMMYFUNCTION("""COMPUTED_VALUE"""),"passive")</f>
        <v>passive</v>
      </c>
      <c r="D60" s="8">
        <f>IFERROR(__xludf.DUMMYFUNCTION("""COMPUTED_VALUE"""),0.0)</f>
        <v>0</v>
      </c>
      <c r="E60" s="8" t="str">
        <f>IFERROR(__xludf.DUMMYFUNCTION("""COMPUTED_VALUE"""),"head2")</f>
        <v>head2</v>
      </c>
      <c r="F60" s="8" t="str">
        <f>IFERROR(__xludf.DUMMYFUNCTION("""COMPUTED_VALUE"""),"")</f>
        <v/>
      </c>
    </row>
    <row r="61" ht="37.5" customHeight="1">
      <c r="A61" s="8" t="str">
        <f>IFERROR(__xludf.DUMMYFUNCTION("""COMPUTED_VALUE"""),"531_haemolacria.anm2")</f>
        <v>531_haemolacria.anm2</v>
      </c>
      <c r="B61" s="8">
        <f>IFERROR(__xludf.DUMMYFUNCTION("""COMPUTED_VALUE"""),531.0)</f>
        <v>531</v>
      </c>
      <c r="C61" s="8" t="str">
        <f>IFERROR(__xludf.DUMMYFUNCTION("""COMPUTED_VALUE"""),"passive")</f>
        <v>passive</v>
      </c>
      <c r="D61" s="8">
        <f>IFERROR(__xludf.DUMMYFUNCTION("""COMPUTED_VALUE"""),0.0)</f>
        <v>0</v>
      </c>
      <c r="E61" s="8" t="str">
        <f>IFERROR(__xludf.DUMMYFUNCTION("""COMPUTED_VALUE"""),"head2")</f>
        <v>head2</v>
      </c>
      <c r="F61" s="8" t="str">
        <f>IFERROR(__xludf.DUMMYFUNCTION("""COMPUTED_VALUE"""),"")</f>
        <v/>
      </c>
    </row>
    <row r="62" ht="37.5" customHeight="1">
      <c r="A62" s="8" t="str">
        <f>IFERROR(__xludf.DUMMYFUNCTION("""COMPUTED_VALUE"""),"532_lachryphagy.anm2")</f>
        <v>532_lachryphagy.anm2</v>
      </c>
      <c r="B62" s="8">
        <f>IFERROR(__xludf.DUMMYFUNCTION("""COMPUTED_VALUE"""),532.0)</f>
        <v>532</v>
      </c>
      <c r="C62" s="8" t="str">
        <f>IFERROR(__xludf.DUMMYFUNCTION("""COMPUTED_VALUE"""),"passive")</f>
        <v>passive</v>
      </c>
      <c r="D62" s="8">
        <f>IFERROR(__xludf.DUMMYFUNCTION("""COMPUTED_VALUE"""),0.0)</f>
        <v>0</v>
      </c>
      <c r="E62" s="8" t="str">
        <f>IFERROR(__xludf.DUMMYFUNCTION("""COMPUTED_VALUE"""),"head2")</f>
        <v>head2</v>
      </c>
      <c r="F62" s="8" t="str">
        <f>IFERROR(__xludf.DUMMYFUNCTION("""COMPUTED_VALUE"""),"")</f>
        <v/>
      </c>
    </row>
    <row r="63" ht="37.5" customHeight="1">
      <c r="A63" s="8" t="str">
        <f>IFERROR(__xludf.DUMMYFUNCTION("""COMPUTED_VALUE"""),"541_marrow.anm2")</f>
        <v>541_marrow.anm2</v>
      </c>
      <c r="B63" s="8">
        <f>IFERROR(__xludf.DUMMYFUNCTION("""COMPUTED_VALUE"""),541.0)</f>
        <v>541</v>
      </c>
      <c r="C63" s="8" t="str">
        <f>IFERROR(__xludf.DUMMYFUNCTION("""COMPUTED_VALUE"""),"passive")</f>
        <v>passive</v>
      </c>
      <c r="D63" s="8">
        <f>IFERROR(__xludf.DUMMYFUNCTION("""COMPUTED_VALUE"""),0.0)</f>
        <v>0</v>
      </c>
      <c r="E63" s="8" t="str">
        <f>IFERROR(__xludf.DUMMYFUNCTION("""COMPUTED_VALUE"""),"head2")</f>
        <v>head2</v>
      </c>
      <c r="F63" s="8" t="str">
        <f>IFERROR(__xludf.DUMMYFUNCTION("""COMPUTED_VALUE"""),"")</f>
        <v/>
      </c>
    </row>
    <row r="64" ht="37.5" customHeight="1">
      <c r="A64" s="8" t="str">
        <f>IFERROR(__xludf.DUMMYFUNCTION("""COMPUTED_VALUE"""),"000x_mucormycosis.anm2")</f>
        <v>000x_mucormycosis.anm2</v>
      </c>
      <c r="B64" s="8">
        <f>IFERROR(__xludf.DUMMYFUNCTION("""COMPUTED_VALUE"""),553.0)</f>
        <v>553</v>
      </c>
      <c r="C64" s="8" t="str">
        <f>IFERROR(__xludf.DUMMYFUNCTION("""COMPUTED_VALUE"""),"passive")</f>
        <v>passive</v>
      </c>
      <c r="D64" s="8">
        <f>IFERROR(__xludf.DUMMYFUNCTION("""COMPUTED_VALUE"""),0.0)</f>
        <v>0</v>
      </c>
      <c r="E64" s="8" t="str">
        <f>IFERROR(__xludf.DUMMYFUNCTION("""COMPUTED_VALUE"""),"head2")</f>
        <v>head2</v>
      </c>
      <c r="F64" s="8" t="str">
        <f>IFERROR(__xludf.DUMMYFUNCTION("""COMPUTED_VALUE"""),"")</f>
        <v/>
      </c>
    </row>
    <row r="65" ht="37.5" customHeight="1">
      <c r="A65" s="8" t="str">
        <f>IFERROR(__xludf.DUMMYFUNCTION("""COMPUTED_VALUE"""),"005x_eyesore.anm2")</f>
        <v>005x_eyesore.anm2</v>
      </c>
      <c r="B65" s="8">
        <f>IFERROR(__xludf.DUMMYFUNCTION("""COMPUTED_VALUE"""),558.0)</f>
        <v>558</v>
      </c>
      <c r="C65" s="8" t="str">
        <f>IFERROR(__xludf.DUMMYFUNCTION("""COMPUTED_VALUE"""),"passive")</f>
        <v>passive</v>
      </c>
      <c r="D65" s="8">
        <f>IFERROR(__xludf.DUMMYFUNCTION("""COMPUTED_VALUE"""),0.0)</f>
        <v>0</v>
      </c>
      <c r="E65" s="8" t="str">
        <f>IFERROR(__xludf.DUMMYFUNCTION("""COMPUTED_VALUE"""),"head2")</f>
        <v>head2</v>
      </c>
      <c r="F65" s="8" t="str">
        <f>IFERROR(__xludf.DUMMYFUNCTION("""COMPUTED_VALUE"""),"")</f>
        <v/>
      </c>
    </row>
    <row r="66" ht="37.5" customHeight="1">
      <c r="A66" s="8" t="str">
        <f>IFERROR(__xludf.DUMMYFUNCTION("""COMPUTED_VALUE"""),"019x_occulteye.anm2")</f>
        <v>019x_occulteye.anm2</v>
      </c>
      <c r="B66" s="8">
        <f>IFERROR(__xludf.DUMMYFUNCTION("""COMPUTED_VALUE"""),572.0)</f>
        <v>572</v>
      </c>
      <c r="C66" s="8" t="str">
        <f>IFERROR(__xludf.DUMMYFUNCTION("""COMPUTED_VALUE"""),"passive")</f>
        <v>passive</v>
      </c>
      <c r="D66" s="8">
        <f>IFERROR(__xludf.DUMMYFUNCTION("""COMPUTED_VALUE"""),10.0)</f>
        <v>10</v>
      </c>
      <c r="E66" s="8" t="str">
        <f>IFERROR(__xludf.DUMMYFUNCTION("""COMPUTED_VALUE"""),"head2")</f>
        <v>head2</v>
      </c>
      <c r="F66" s="8" t="str">
        <f>IFERROR(__xludf.DUMMYFUNCTION("""COMPUTED_VALUE"""),"")</f>
        <v/>
      </c>
    </row>
    <row r="67" ht="37.5" customHeight="1">
      <c r="A67" s="8" t="str">
        <f>IFERROR(__xludf.DUMMYFUNCTION("""COMPUTED_VALUE"""),"052x_thescooper.anm2")</f>
        <v>052x_thescooper.anm2</v>
      </c>
      <c r="B67" s="8">
        <f>IFERROR(__xludf.DUMMYFUNCTION("""COMPUTED_VALUE"""),605.0)</f>
        <v>605</v>
      </c>
      <c r="C67" s="8" t="str">
        <f>IFERROR(__xludf.DUMMYFUNCTION("""COMPUTED_VALUE"""),"active")</f>
        <v>active</v>
      </c>
      <c r="D67" s="8">
        <f>IFERROR(__xludf.DUMMYFUNCTION("""COMPUTED_VALUE"""),5.0)</f>
        <v>5</v>
      </c>
      <c r="E67" s="8" t="str">
        <f>IFERROR(__xludf.DUMMYFUNCTION("""COMPUTED_VALUE"""),"head2")</f>
        <v>head2</v>
      </c>
      <c r="F67" s="8" t="str">
        <f>IFERROR(__xludf.DUMMYFUNCTION("""COMPUTED_VALUE"""),"")</f>
        <v/>
      </c>
    </row>
    <row r="68" ht="37.5" customHeight="1">
      <c r="A68" s="8" t="str">
        <f>IFERROR(__xludf.DUMMYFUNCTION("""COMPUTED_VALUE"""),"053x_oculusrift.anm2")</f>
        <v>053x_oculusrift.anm2</v>
      </c>
      <c r="B68" s="8">
        <f>IFERROR(__xludf.DUMMYFUNCTION("""COMPUTED_VALUE"""),606.0)</f>
        <v>606</v>
      </c>
      <c r="C68" s="8" t="str">
        <f>IFERROR(__xludf.DUMMYFUNCTION("""COMPUTED_VALUE"""),"passive")</f>
        <v>passive</v>
      </c>
      <c r="D68" s="8">
        <f>IFERROR(__xludf.DUMMYFUNCTION("""COMPUTED_VALUE"""),0.0)</f>
        <v>0</v>
      </c>
      <c r="E68" s="8" t="str">
        <f>IFERROR(__xludf.DUMMYFUNCTION("""COMPUTED_VALUE"""),"head2")</f>
        <v>head2</v>
      </c>
      <c r="F68" s="8" t="str">
        <f>IFERROR(__xludf.DUMMYFUNCTION("""COMPUTED_VALUE"""),"")</f>
        <v/>
      </c>
    </row>
    <row r="69" ht="37.5" customHeight="1">
      <c r="A69" s="8" t="str">
        <f>IFERROR(__xludf.DUMMYFUNCTION("""COMPUTED_VALUE"""),"063x_birdseye.anm2")</f>
        <v>063x_birdseye.anm2</v>
      </c>
      <c r="B69" s="8">
        <f>IFERROR(__xludf.DUMMYFUNCTION("""COMPUTED_VALUE"""),616.0)</f>
        <v>616</v>
      </c>
      <c r="C69" s="8" t="str">
        <f>IFERROR(__xludf.DUMMYFUNCTION("""COMPUTED_VALUE"""),"passive")</f>
        <v>passive</v>
      </c>
      <c r="D69" s="8">
        <f>IFERROR(__xludf.DUMMYFUNCTION("""COMPUTED_VALUE"""),0.0)</f>
        <v>0</v>
      </c>
      <c r="E69" s="8" t="str">
        <f>IFERROR(__xludf.DUMMYFUNCTION("""COMPUTED_VALUE"""),"head2")</f>
        <v>head2</v>
      </c>
      <c r="F69" s="8" t="str">
        <f>IFERROR(__xludf.DUMMYFUNCTION("""COMPUTED_VALUE"""),"")</f>
        <v/>
      </c>
    </row>
    <row r="70" ht="37.5" customHeight="1">
      <c r="A70" s="8" t="str">
        <f>IFERROR(__xludf.DUMMYFUNCTION("""COMPUTED_VALUE"""),"094x_assaultbattery.anm2")</f>
        <v>094x_assaultbattery.anm2</v>
      </c>
      <c r="B70" s="8">
        <f>IFERROR(__xludf.DUMMYFUNCTION("""COMPUTED_VALUE"""),647.0)</f>
        <v>647</v>
      </c>
      <c r="C70" s="8" t="str">
        <f>IFERROR(__xludf.DUMMYFUNCTION("""COMPUTED_VALUE"""),"passive")</f>
        <v>passive</v>
      </c>
      <c r="D70" s="8">
        <f>IFERROR(__xludf.DUMMYFUNCTION("""COMPUTED_VALUE"""),0.0)</f>
        <v>0</v>
      </c>
      <c r="E70" s="8" t="str">
        <f>IFERROR(__xludf.DUMMYFUNCTION("""COMPUTED_VALUE"""),"head2")</f>
        <v>head2</v>
      </c>
      <c r="F70" s="8" t="str">
        <f>IFERROR(__xludf.DUMMYFUNCTION("""COMPUTED_VALUE"""),"")</f>
        <v/>
      </c>
    </row>
    <row r="71" ht="37.5" customHeight="1">
      <c r="A71" s="8" t="str">
        <f>IFERROR(__xludf.DUMMYFUNCTION("""COMPUTED_VALUE"""),"101x_falsephd.anm2")</f>
        <v>101x_falsephd.anm2</v>
      </c>
      <c r="B71" s="8">
        <f>IFERROR(__xludf.DUMMYFUNCTION("""COMPUTED_VALUE"""),654.0)</f>
        <v>654</v>
      </c>
      <c r="C71" s="8" t="str">
        <f>IFERROR(__xludf.DUMMYFUNCTION("""COMPUTED_VALUE"""),"passive")</f>
        <v>passive</v>
      </c>
      <c r="D71" s="8">
        <f>IFERROR(__xludf.DUMMYFUNCTION("""COMPUTED_VALUE"""),0.0)</f>
        <v>0</v>
      </c>
      <c r="E71" s="8" t="str">
        <f>IFERROR(__xludf.DUMMYFUNCTION("""COMPUTED_VALUE"""),"head2")</f>
        <v>head2</v>
      </c>
      <c r="F71" s="8" t="str">
        <f>IFERROR(__xludf.DUMMYFUNCTION("""COMPUTED_VALUE"""),"")</f>
        <v/>
      </c>
    </row>
    <row r="72" ht="37.5" customHeight="1">
      <c r="A72" s="8" t="str">
        <f>IFERROR(__xludf.DUMMYFUNCTION("""COMPUTED_VALUE"""),"104x_vasculitis.anm2")</f>
        <v>104x_vasculitis.anm2</v>
      </c>
      <c r="B72" s="8">
        <f>IFERROR(__xludf.DUMMYFUNCTION("""COMPUTED_VALUE"""),657.0)</f>
        <v>657</v>
      </c>
      <c r="C72" s="8" t="str">
        <f>IFERROR(__xludf.DUMMYFUNCTION("""COMPUTED_VALUE"""),"passive")</f>
        <v>passive</v>
      </c>
      <c r="D72" s="8">
        <f>IFERROR(__xludf.DUMMYFUNCTION("""COMPUTED_VALUE"""),0.0)</f>
        <v>0</v>
      </c>
      <c r="E72" s="8" t="str">
        <f>IFERROR(__xludf.DUMMYFUNCTION("""COMPUTED_VALUE"""),"head2")</f>
        <v>head2</v>
      </c>
      <c r="F72" s="8" t="str">
        <f>IFERROR(__xludf.DUMMYFUNCTION("""COMPUTED_VALUE"""),"")</f>
        <v/>
      </c>
    </row>
    <row r="73" ht="37.5" customHeight="1">
      <c r="A73" s="8" t="str">
        <f>IFERROR(__xludf.DUMMYFUNCTION("""COMPUTED_VALUE"""),"105x_giantcell.anm2")</f>
        <v>105x_giantcell.anm2</v>
      </c>
      <c r="B73" s="8">
        <f>IFERROR(__xludf.DUMMYFUNCTION("""COMPUTED_VALUE"""),658.0)</f>
        <v>658</v>
      </c>
      <c r="C73" s="8" t="str">
        <f>IFERROR(__xludf.DUMMYFUNCTION("""COMPUTED_VALUE"""),"passive")</f>
        <v>passive</v>
      </c>
      <c r="D73" s="8">
        <f>IFERROR(__xludf.DUMMYFUNCTION("""COMPUTED_VALUE"""),0.0)</f>
        <v>0</v>
      </c>
      <c r="E73" s="8" t="str">
        <f>IFERROR(__xludf.DUMMYFUNCTION("""COMPUTED_VALUE"""),"head2")</f>
        <v>head2</v>
      </c>
      <c r="F73" s="8" t="str">
        <f>IFERROR(__xludf.DUMMYFUNCTION("""COMPUTED_VALUE"""),"")</f>
        <v/>
      </c>
    </row>
    <row r="74" ht="37.5" customHeight="1">
      <c r="A74" s="8" t="str">
        <f>IFERROR(__xludf.DUMMYFUNCTION("""COMPUTED_VALUE"""),"106x_tropicamide.anm2")</f>
        <v>106x_tropicamide.anm2</v>
      </c>
      <c r="B74" s="8">
        <f>IFERROR(__xludf.DUMMYFUNCTION("""COMPUTED_VALUE"""),659.0)</f>
        <v>659</v>
      </c>
      <c r="C74" s="8" t="str">
        <f>IFERROR(__xludf.DUMMYFUNCTION("""COMPUTED_VALUE"""),"passive")</f>
        <v>passive</v>
      </c>
      <c r="D74" s="8">
        <f>IFERROR(__xludf.DUMMYFUNCTION("""COMPUTED_VALUE"""),0.0)</f>
        <v>0</v>
      </c>
      <c r="E74" s="8" t="str">
        <f>IFERROR(__xludf.DUMMYFUNCTION("""COMPUTED_VALUE"""),"head2")</f>
        <v>head2</v>
      </c>
      <c r="F74" s="8" t="str">
        <f>IFERROR(__xludf.DUMMYFUNCTION("""COMPUTED_VALUE"""),"")</f>
        <v/>
      </c>
    </row>
    <row r="75" ht="37.5" customHeight="1">
      <c r="A75" s="8" t="str">
        <f>IFERROR(__xludf.DUMMYFUNCTION("""COMPUTED_VALUE"""),"665_guppyseye.anm2")</f>
        <v>665_guppyseye.anm2</v>
      </c>
      <c r="B75" s="8">
        <f>IFERROR(__xludf.DUMMYFUNCTION("""COMPUTED_VALUE"""),665.0)</f>
        <v>665</v>
      </c>
      <c r="C75" s="8" t="str">
        <f>IFERROR(__xludf.DUMMYFUNCTION("""COMPUTED_VALUE"""),"passive")</f>
        <v>passive</v>
      </c>
      <c r="D75" s="8">
        <f>IFERROR(__xludf.DUMMYFUNCTION("""COMPUTED_VALUE"""),0.0)</f>
        <v>0</v>
      </c>
      <c r="E75" s="8" t="str">
        <f>IFERROR(__xludf.DUMMYFUNCTION("""COMPUTED_VALUE"""),"head2")</f>
        <v>head2</v>
      </c>
      <c r="F75" s="8" t="str">
        <f>IFERROR(__xludf.DUMMYFUNCTION("""COMPUTED_VALUE"""),"")</f>
        <v/>
      </c>
    </row>
    <row r="76" ht="37.5" customHeight="1">
      <c r="A76" s="8"/>
      <c r="B76" s="8"/>
      <c r="C76" s="8"/>
      <c r="D76" s="8"/>
      <c r="E76" s="8"/>
      <c r="F76" s="8"/>
    </row>
    <row r="77" ht="37.5" customHeight="1">
      <c r="A77" s="8"/>
      <c r="B77" s="8"/>
      <c r="C77" s="8"/>
      <c r="D77" s="8"/>
      <c r="E77" s="8"/>
      <c r="F77" s="8"/>
    </row>
    <row r="78" ht="37.5" customHeight="1">
      <c r="A78" s="8"/>
      <c r="B78" s="8"/>
      <c r="C78" s="8"/>
      <c r="D78" s="8"/>
      <c r="E78" s="8"/>
      <c r="F78" s="8"/>
    </row>
    <row r="79" ht="37.5" customHeight="1">
      <c r="A79" s="8"/>
      <c r="B79" s="8"/>
      <c r="C79" s="8"/>
      <c r="D79" s="8"/>
      <c r="E79" s="8"/>
      <c r="F79" s="8"/>
    </row>
    <row r="80" ht="37.5" customHeight="1">
      <c r="A80" s="8"/>
      <c r="B80" s="8"/>
      <c r="C80" s="8"/>
      <c r="D80" s="8"/>
      <c r="E80" s="8"/>
      <c r="F80" s="8"/>
    </row>
    <row r="81" ht="37.5" customHeight="1">
      <c r="A81" s="8"/>
      <c r="B81" s="8"/>
      <c r="C81" s="8"/>
      <c r="D81" s="8"/>
      <c r="E81" s="8"/>
      <c r="F81" s="8"/>
    </row>
    <row r="82" ht="37.5" customHeight="1">
      <c r="A82" s="8"/>
      <c r="B82" s="8"/>
      <c r="C82" s="8"/>
      <c r="D82" s="8"/>
      <c r="E82" s="8"/>
      <c r="F82" s="8"/>
    </row>
    <row r="83" ht="37.5" customHeight="1">
      <c r="A83" s="8"/>
      <c r="B83" s="8"/>
      <c r="C83" s="8"/>
      <c r="D83" s="8"/>
      <c r="E83" s="8"/>
      <c r="F83" s="8"/>
    </row>
    <row r="84" ht="37.5" customHeight="1">
      <c r="A84" s="8"/>
      <c r="B84" s="8"/>
      <c r="C84" s="8"/>
      <c r="D84" s="8"/>
      <c r="E84" s="8"/>
      <c r="F84" s="8"/>
    </row>
    <row r="85" ht="37.5" customHeight="1">
      <c r="A85" s="8"/>
      <c r="B85" s="8"/>
      <c r="C85" s="8"/>
      <c r="D85" s="8"/>
      <c r="E85" s="8"/>
      <c r="F85" s="8"/>
    </row>
    <row r="86" ht="37.5" customHeight="1">
      <c r="A86" s="8"/>
      <c r="B86" s="8"/>
      <c r="C86" s="8"/>
      <c r="D86" s="8"/>
      <c r="E86" s="8"/>
      <c r="F86" s="8"/>
    </row>
    <row r="87" ht="37.5" customHeight="1">
      <c r="A87" s="8"/>
      <c r="B87" s="8"/>
      <c r="C87" s="8"/>
      <c r="D87" s="8"/>
      <c r="E87" s="8"/>
      <c r="F87" s="8"/>
    </row>
    <row r="88" ht="37.5" customHeight="1">
      <c r="A88" s="8"/>
      <c r="B88" s="8"/>
      <c r="C88" s="8"/>
      <c r="D88" s="8"/>
      <c r="E88" s="8"/>
      <c r="F88" s="8"/>
    </row>
    <row r="89" ht="37.5" customHeight="1">
      <c r="A89" s="8"/>
      <c r="B89" s="8"/>
      <c r="C89" s="8"/>
      <c r="D89" s="8"/>
      <c r="E89" s="8"/>
      <c r="F89" s="8"/>
    </row>
    <row r="90" ht="37.5" customHeight="1">
      <c r="A90" s="8"/>
      <c r="B90" s="8"/>
      <c r="C90" s="8"/>
      <c r="D90" s="8"/>
      <c r="E90" s="8"/>
      <c r="F90" s="8"/>
    </row>
    <row r="91" ht="37.5" customHeight="1">
      <c r="A91" s="8"/>
      <c r="B91" s="8"/>
      <c r="C91" s="8"/>
      <c r="D91" s="8"/>
      <c r="E91" s="8"/>
      <c r="F91" s="8"/>
    </row>
    <row r="92" ht="37.5" customHeight="1">
      <c r="A92" s="8"/>
      <c r="B92" s="8"/>
      <c r="C92" s="8"/>
      <c r="D92" s="8"/>
      <c r="E92" s="8"/>
      <c r="F92" s="8"/>
    </row>
    <row r="93" ht="37.5" customHeight="1">
      <c r="A93" s="8"/>
      <c r="B93" s="8"/>
      <c r="C93" s="8"/>
      <c r="D93" s="8"/>
      <c r="E93" s="8"/>
      <c r="F93" s="8"/>
    </row>
    <row r="94" ht="37.5" customHeight="1">
      <c r="A94" s="8"/>
      <c r="B94" s="8"/>
      <c r="C94" s="8"/>
      <c r="D94" s="8"/>
      <c r="E94" s="8"/>
      <c r="F94" s="8"/>
    </row>
    <row r="95" ht="37.5" customHeight="1">
      <c r="A95" s="8"/>
      <c r="B95" s="8"/>
      <c r="C95" s="8"/>
      <c r="D95" s="8"/>
      <c r="E95" s="8"/>
      <c r="F95" s="8"/>
    </row>
    <row r="96" ht="37.5" customHeight="1">
      <c r="A96" s="8"/>
      <c r="B96" s="8"/>
      <c r="C96" s="8"/>
      <c r="D96" s="8"/>
      <c r="E96" s="8"/>
      <c r="F96" s="8"/>
    </row>
    <row r="97" ht="37.5" customHeight="1">
      <c r="A97" s="8"/>
      <c r="B97" s="8"/>
      <c r="C97" s="8"/>
      <c r="D97" s="8"/>
      <c r="E97" s="8"/>
      <c r="F97" s="8"/>
    </row>
    <row r="98" ht="37.5" customHeight="1">
      <c r="A98" s="8"/>
      <c r="B98" s="8"/>
      <c r="C98" s="8"/>
      <c r="D98" s="8"/>
      <c r="E98" s="8"/>
      <c r="F98" s="8"/>
    </row>
    <row r="99" ht="37.5" customHeight="1">
      <c r="A99" s="8"/>
      <c r="B99" s="8"/>
      <c r="C99" s="8"/>
      <c r="D99" s="8"/>
      <c r="E99" s="8"/>
      <c r="F99" s="8"/>
    </row>
    <row r="100" ht="37.5" customHeight="1">
      <c r="A100" s="8"/>
      <c r="B100" s="8"/>
      <c r="C100" s="8"/>
      <c r="D100" s="8"/>
      <c r="E100" s="8"/>
      <c r="F100" s="8"/>
    </row>
    <row r="101" ht="37.5" customHeight="1">
      <c r="A101" s="8"/>
      <c r="B101" s="8"/>
      <c r="C101" s="8"/>
      <c r="D101" s="8"/>
      <c r="E101" s="8"/>
      <c r="F101" s="8"/>
    </row>
    <row r="102" ht="37.5" customHeight="1">
      <c r="A102" s="8"/>
      <c r="B102" s="8"/>
      <c r="C102" s="8"/>
      <c r="D102" s="8"/>
      <c r="E102" s="8"/>
      <c r="F102" s="8"/>
    </row>
    <row r="103" ht="37.5" customHeight="1">
      <c r="A103" s="8"/>
      <c r="B103" s="8"/>
      <c r="C103" s="8"/>
      <c r="D103" s="8"/>
      <c r="E103" s="8"/>
      <c r="F103" s="8"/>
    </row>
    <row r="104" ht="37.5" customHeight="1">
      <c r="A104" s="8"/>
      <c r="B104" s="8"/>
      <c r="C104" s="8"/>
      <c r="D104" s="8"/>
      <c r="E104" s="8"/>
      <c r="F104" s="8"/>
    </row>
    <row r="105" ht="37.5" customHeight="1">
      <c r="A105" s="8"/>
      <c r="B105" s="8"/>
      <c r="C105" s="8"/>
      <c r="D105" s="8"/>
      <c r="E105" s="8"/>
      <c r="F105" s="8"/>
    </row>
    <row r="106" ht="37.5" customHeight="1">
      <c r="A106" s="8"/>
      <c r="B106" s="8"/>
      <c r="C106" s="8"/>
      <c r="D106" s="8"/>
      <c r="E106" s="8"/>
      <c r="F106" s="8"/>
    </row>
    <row r="107" ht="37.5" customHeight="1">
      <c r="A107" s="8"/>
      <c r="B107" s="8"/>
      <c r="C107" s="8"/>
      <c r="D107" s="8"/>
      <c r="E107" s="8"/>
      <c r="F107" s="8"/>
    </row>
    <row r="108" ht="37.5" customHeight="1">
      <c r="A108" s="8"/>
      <c r="B108" s="8"/>
      <c r="C108" s="8"/>
      <c r="D108" s="8"/>
      <c r="E108" s="8"/>
      <c r="F108" s="8"/>
    </row>
    <row r="109" ht="37.5" customHeight="1">
      <c r="A109" s="8"/>
      <c r="B109" s="8"/>
      <c r="C109" s="8"/>
      <c r="D109" s="8"/>
      <c r="E109" s="8"/>
      <c r="F109" s="8"/>
    </row>
    <row r="110" ht="37.5" customHeight="1">
      <c r="A110" s="8"/>
      <c r="B110" s="8"/>
      <c r="C110" s="8"/>
      <c r="D110" s="8"/>
      <c r="E110" s="8"/>
      <c r="F110" s="8"/>
    </row>
    <row r="111" ht="37.5" customHeight="1">
      <c r="A111" s="8"/>
      <c r="B111" s="8"/>
      <c r="C111" s="8"/>
      <c r="D111" s="8"/>
      <c r="E111" s="8"/>
      <c r="F111" s="8"/>
    </row>
    <row r="112" ht="37.5" customHeight="1">
      <c r="A112" s="8"/>
      <c r="B112" s="8"/>
      <c r="C112" s="8"/>
      <c r="D112" s="8"/>
      <c r="E112" s="8"/>
      <c r="F112" s="8"/>
    </row>
    <row r="113" ht="37.5" customHeight="1">
      <c r="A113" s="8"/>
      <c r="B113" s="8"/>
      <c r="C113" s="8"/>
      <c r="D113" s="8"/>
      <c r="E113" s="8"/>
      <c r="F113" s="8"/>
    </row>
    <row r="114" ht="37.5" customHeight="1">
      <c r="A114" s="8"/>
      <c r="B114" s="8"/>
      <c r="C114" s="8"/>
      <c r="D114" s="8"/>
      <c r="E114" s="8"/>
      <c r="F114" s="8"/>
    </row>
    <row r="115" ht="37.5" customHeight="1">
      <c r="A115" s="8"/>
      <c r="B115" s="8"/>
      <c r="C115" s="8"/>
      <c r="D115" s="8"/>
      <c r="E115" s="8"/>
      <c r="F115" s="8"/>
    </row>
    <row r="116" ht="37.5" customHeight="1">
      <c r="A116" s="8"/>
      <c r="B116" s="8"/>
      <c r="C116" s="8"/>
      <c r="D116" s="8"/>
      <c r="E116" s="8"/>
      <c r="F116" s="8"/>
    </row>
    <row r="117" ht="37.5" customHeight="1">
      <c r="A117" s="8"/>
      <c r="B117" s="8"/>
      <c r="C117" s="8"/>
      <c r="D117" s="8"/>
      <c r="E117" s="8"/>
      <c r="F117" s="8"/>
    </row>
    <row r="118" ht="37.5" customHeight="1">
      <c r="A118" s="8"/>
      <c r="B118" s="8"/>
      <c r="C118" s="8"/>
      <c r="D118" s="8"/>
      <c r="E118" s="8"/>
      <c r="F118" s="8"/>
    </row>
    <row r="119" ht="37.5" customHeight="1">
      <c r="A119" s="8"/>
      <c r="B119" s="8"/>
      <c r="C119" s="8"/>
      <c r="D119" s="8"/>
      <c r="E119" s="8"/>
      <c r="F119" s="8"/>
    </row>
    <row r="120" ht="37.5" customHeight="1">
      <c r="A120" s="8"/>
      <c r="B120" s="8"/>
      <c r="C120" s="8"/>
      <c r="D120" s="8"/>
      <c r="E120" s="8"/>
      <c r="F120" s="8"/>
    </row>
    <row r="121" ht="37.5" customHeight="1">
      <c r="A121" s="8"/>
      <c r="B121" s="8"/>
      <c r="C121" s="8"/>
      <c r="D121" s="8"/>
      <c r="E121" s="8"/>
      <c r="F121" s="8"/>
    </row>
    <row r="122" ht="37.5" customHeight="1">
      <c r="A122" s="8"/>
      <c r="B122" s="8"/>
      <c r="C122" s="8"/>
      <c r="D122" s="8"/>
      <c r="E122" s="8"/>
      <c r="F122" s="8"/>
    </row>
    <row r="123" ht="37.5" customHeight="1">
      <c r="A123" s="8"/>
      <c r="B123" s="8"/>
      <c r="C123" s="8"/>
      <c r="D123" s="8"/>
      <c r="E123" s="8"/>
      <c r="F123" s="8"/>
    </row>
    <row r="124" ht="37.5" customHeight="1">
      <c r="A124" s="8"/>
      <c r="B124" s="8"/>
      <c r="C124" s="8"/>
      <c r="D124" s="8"/>
      <c r="E124" s="8"/>
      <c r="F124" s="8"/>
    </row>
    <row r="125" ht="37.5" customHeight="1">
      <c r="A125" s="8"/>
      <c r="B125" s="8"/>
      <c r="C125" s="8"/>
      <c r="D125" s="8"/>
      <c r="E125" s="8"/>
      <c r="F125" s="8"/>
    </row>
    <row r="126" ht="37.5" customHeight="1">
      <c r="A126" s="8"/>
      <c r="B126" s="8"/>
      <c r="C126" s="8"/>
      <c r="D126" s="8"/>
      <c r="E126" s="8"/>
      <c r="F126" s="8"/>
    </row>
    <row r="127" ht="37.5" customHeight="1">
      <c r="A127" s="8"/>
      <c r="B127" s="8"/>
      <c r="C127" s="8"/>
      <c r="D127" s="8"/>
      <c r="E127" s="8"/>
      <c r="F127" s="8"/>
    </row>
    <row r="128" ht="37.5" customHeight="1">
      <c r="A128" s="8"/>
      <c r="B128" s="8"/>
      <c r="C128" s="8"/>
      <c r="D128" s="8"/>
      <c r="E128" s="8"/>
      <c r="F128" s="8"/>
    </row>
    <row r="129" ht="37.5" customHeight="1">
      <c r="A129" s="8"/>
      <c r="B129" s="8"/>
      <c r="C129" s="8"/>
      <c r="D129" s="8"/>
      <c r="E129" s="8"/>
      <c r="F129" s="8"/>
    </row>
    <row r="130" ht="37.5" customHeight="1">
      <c r="A130" s="8"/>
      <c r="B130" s="8"/>
      <c r="C130" s="8"/>
      <c r="D130" s="8"/>
      <c r="E130" s="8"/>
      <c r="F130" s="8"/>
    </row>
    <row r="131" ht="37.5" customHeight="1">
      <c r="A131" s="8"/>
      <c r="B131" s="8"/>
      <c r="C131" s="8"/>
      <c r="D131" s="8"/>
      <c r="E131" s="8"/>
      <c r="F131" s="8"/>
    </row>
    <row r="132" ht="37.5" customHeight="1">
      <c r="A132" s="8"/>
      <c r="B132" s="8"/>
      <c r="C132" s="8"/>
      <c r="D132" s="8"/>
      <c r="E132" s="8"/>
      <c r="F132" s="8"/>
    </row>
    <row r="133" ht="37.5" customHeight="1">
      <c r="A133" s="8"/>
      <c r="B133" s="8"/>
      <c r="C133" s="8"/>
      <c r="D133" s="8"/>
      <c r="E133" s="8"/>
      <c r="F133" s="8"/>
    </row>
    <row r="134" ht="37.5" customHeight="1">
      <c r="A134" s="8"/>
      <c r="B134" s="8"/>
      <c r="C134" s="8"/>
      <c r="D134" s="8"/>
      <c r="E134" s="8"/>
      <c r="F134" s="8"/>
    </row>
    <row r="135" ht="37.5" customHeight="1">
      <c r="A135" s="8"/>
      <c r="B135" s="8"/>
      <c r="C135" s="8"/>
      <c r="D135" s="8"/>
      <c r="E135" s="8"/>
      <c r="F135" s="8"/>
    </row>
    <row r="136" ht="37.5" customHeight="1">
      <c r="A136" s="8"/>
      <c r="B136" s="8"/>
      <c r="C136" s="8"/>
      <c r="D136" s="8"/>
      <c r="E136" s="8"/>
      <c r="F136" s="8"/>
    </row>
    <row r="137" ht="37.5" customHeight="1">
      <c r="A137" s="8"/>
      <c r="B137" s="8"/>
      <c r="C137" s="8"/>
      <c r="D137" s="8"/>
      <c r="E137" s="8"/>
      <c r="F137" s="8"/>
    </row>
    <row r="138" ht="37.5" customHeight="1">
      <c r="A138" s="8"/>
      <c r="B138" s="8"/>
      <c r="C138" s="8"/>
      <c r="D138" s="8"/>
      <c r="E138" s="8"/>
      <c r="F138" s="8"/>
    </row>
    <row r="139" ht="37.5" customHeight="1">
      <c r="A139" s="8"/>
      <c r="B139" s="8"/>
      <c r="C139" s="8"/>
      <c r="D139" s="8"/>
      <c r="E139" s="8"/>
      <c r="F139" s="8"/>
    </row>
    <row r="140" ht="37.5" customHeight="1">
      <c r="A140" s="8"/>
      <c r="B140" s="8"/>
      <c r="C140" s="8"/>
      <c r="D140" s="8"/>
      <c r="E140" s="8"/>
      <c r="F140" s="8"/>
    </row>
    <row r="141" ht="37.5" customHeight="1">
      <c r="A141" s="8"/>
      <c r="B141" s="8"/>
      <c r="C141" s="8"/>
      <c r="D141" s="8"/>
      <c r="E141" s="8"/>
      <c r="F141" s="8"/>
    </row>
    <row r="142" ht="37.5" customHeight="1">
      <c r="A142" s="8"/>
      <c r="B142" s="8"/>
      <c r="C142" s="8"/>
      <c r="D142" s="8"/>
      <c r="E142" s="8"/>
      <c r="F142" s="8"/>
    </row>
    <row r="143" ht="37.5" customHeight="1">
      <c r="A143" s="8"/>
      <c r="B143" s="8"/>
      <c r="C143" s="8"/>
      <c r="D143" s="8"/>
      <c r="E143" s="8"/>
      <c r="F143" s="8"/>
    </row>
    <row r="144" ht="37.5" customHeight="1">
      <c r="A144" s="8"/>
      <c r="B144" s="8"/>
      <c r="C144" s="8"/>
      <c r="D144" s="8"/>
      <c r="E144" s="8"/>
      <c r="F144" s="8"/>
    </row>
    <row r="145" ht="37.5" customHeight="1">
      <c r="A145" s="8"/>
      <c r="B145" s="8"/>
      <c r="C145" s="8"/>
      <c r="D145" s="8"/>
      <c r="E145" s="8"/>
      <c r="F145" s="8"/>
    </row>
    <row r="146" ht="37.5" customHeight="1">
      <c r="A146" s="8"/>
      <c r="B146" s="8"/>
      <c r="C146" s="8"/>
      <c r="D146" s="8"/>
      <c r="E146" s="8"/>
      <c r="F146" s="8"/>
    </row>
    <row r="147" ht="37.5" customHeight="1">
      <c r="A147" s="8"/>
      <c r="B147" s="8"/>
      <c r="C147" s="8"/>
      <c r="D147" s="8"/>
      <c r="E147" s="8"/>
      <c r="F147" s="8"/>
    </row>
    <row r="148" ht="37.5" customHeight="1">
      <c r="A148" s="8"/>
      <c r="B148" s="8"/>
      <c r="C148" s="8"/>
      <c r="D148" s="8"/>
      <c r="E148" s="8"/>
      <c r="F148" s="8"/>
    </row>
    <row r="149" ht="37.5" customHeight="1">
      <c r="A149" s="8"/>
      <c r="B149" s="8"/>
      <c r="C149" s="8"/>
      <c r="D149" s="8"/>
      <c r="E149" s="8"/>
      <c r="F149" s="8"/>
    </row>
    <row r="150" ht="37.5" customHeight="1">
      <c r="A150" s="8"/>
      <c r="B150" s="8"/>
      <c r="C150" s="8"/>
      <c r="D150" s="8"/>
      <c r="E150" s="8"/>
      <c r="F150" s="8"/>
    </row>
    <row r="151" ht="37.5" customHeight="1">
      <c r="A151" s="8"/>
      <c r="B151" s="8"/>
      <c r="C151" s="8"/>
      <c r="D151" s="8"/>
      <c r="E151" s="8"/>
      <c r="F151" s="8"/>
    </row>
    <row r="152" ht="37.5" customHeight="1">
      <c r="A152" s="8"/>
      <c r="B152" s="8"/>
      <c r="C152" s="8"/>
      <c r="D152" s="8"/>
      <c r="E152" s="8"/>
      <c r="F152" s="8"/>
    </row>
    <row r="153" ht="37.5" customHeight="1">
      <c r="A153" s="8"/>
      <c r="B153" s="8"/>
      <c r="C153" s="8"/>
      <c r="D153" s="8"/>
      <c r="E153" s="8"/>
      <c r="F153" s="8"/>
    </row>
    <row r="154" ht="37.5" customHeight="1">
      <c r="A154" s="8"/>
      <c r="B154" s="8"/>
      <c r="C154" s="8"/>
      <c r="D154" s="8"/>
      <c r="E154" s="8"/>
      <c r="F154" s="8"/>
    </row>
    <row r="155" ht="37.5" customHeight="1">
      <c r="A155" s="8"/>
      <c r="B155" s="8"/>
      <c r="C155" s="8"/>
      <c r="D155" s="8"/>
      <c r="E155" s="8"/>
      <c r="F155" s="8"/>
    </row>
    <row r="156" ht="37.5" customHeight="1">
      <c r="A156" s="8"/>
      <c r="B156" s="8"/>
      <c r="C156" s="8"/>
      <c r="D156" s="8"/>
      <c r="E156" s="8"/>
      <c r="F156" s="8"/>
    </row>
    <row r="157" ht="37.5" customHeight="1">
      <c r="A157" s="8"/>
      <c r="B157" s="8"/>
      <c r="C157" s="8"/>
      <c r="D157" s="8"/>
      <c r="E157" s="8"/>
      <c r="F157" s="8"/>
    </row>
    <row r="158" ht="37.5" customHeight="1">
      <c r="A158" s="8"/>
      <c r="B158" s="8"/>
      <c r="C158" s="8"/>
      <c r="D158" s="8"/>
      <c r="E158" s="8"/>
      <c r="F158" s="8"/>
    </row>
    <row r="159" ht="37.5" customHeight="1">
      <c r="A159" s="8"/>
      <c r="B159" s="8"/>
      <c r="C159" s="8"/>
      <c r="D159" s="8"/>
      <c r="E159" s="8"/>
      <c r="F159" s="8"/>
    </row>
    <row r="160" ht="37.5" customHeight="1">
      <c r="A160" s="8"/>
      <c r="B160" s="8"/>
      <c r="C160" s="8"/>
      <c r="D160" s="8"/>
      <c r="E160" s="8"/>
      <c r="F160" s="8"/>
    </row>
    <row r="161" ht="37.5" customHeight="1">
      <c r="A161" s="8"/>
      <c r="B161" s="8"/>
      <c r="C161" s="8"/>
      <c r="D161" s="8"/>
      <c r="E161" s="8"/>
      <c r="F161" s="8"/>
    </row>
    <row r="162" ht="37.5" customHeight="1">
      <c r="A162" s="8"/>
      <c r="B162" s="8"/>
      <c r="C162" s="8"/>
      <c r="D162" s="8"/>
      <c r="E162" s="8"/>
      <c r="F162" s="8"/>
    </row>
    <row r="163" ht="37.5" customHeight="1">
      <c r="A163" s="8"/>
      <c r="B163" s="8"/>
      <c r="C163" s="8"/>
      <c r="D163" s="8"/>
      <c r="E163" s="8"/>
      <c r="F163" s="8"/>
    </row>
    <row r="164" ht="37.5" customHeight="1">
      <c r="A164" s="8"/>
      <c r="B164" s="8"/>
      <c r="C164" s="8"/>
      <c r="D164" s="8"/>
      <c r="E164" s="8"/>
      <c r="F164" s="8"/>
    </row>
    <row r="165" ht="37.5" customHeight="1">
      <c r="A165" s="8"/>
      <c r="B165" s="8"/>
      <c r="C165" s="8"/>
      <c r="D165" s="8"/>
      <c r="E165" s="8"/>
      <c r="F165" s="8"/>
    </row>
    <row r="166" ht="37.5" customHeight="1">
      <c r="A166" s="8"/>
      <c r="B166" s="8"/>
      <c r="C166" s="8"/>
      <c r="D166" s="8"/>
      <c r="E166" s="8"/>
      <c r="F166" s="8"/>
    </row>
    <row r="167" ht="37.5" customHeight="1">
      <c r="A167" s="8"/>
      <c r="B167" s="8"/>
      <c r="C167" s="8"/>
      <c r="D167" s="8"/>
      <c r="E167" s="8"/>
      <c r="F167" s="8"/>
    </row>
    <row r="168" ht="37.5" customHeight="1">
      <c r="A168" s="8"/>
      <c r="B168" s="8"/>
      <c r="C168" s="8"/>
      <c r="D168" s="8"/>
      <c r="E168" s="8"/>
      <c r="F168" s="8"/>
    </row>
    <row r="169" ht="37.5" customHeight="1">
      <c r="A169" s="8"/>
      <c r="B169" s="8"/>
      <c r="C169" s="8"/>
      <c r="D169" s="8"/>
      <c r="E169" s="8"/>
      <c r="F169" s="8"/>
    </row>
    <row r="170" ht="37.5" customHeight="1">
      <c r="A170" s="8"/>
      <c r="B170" s="8"/>
      <c r="C170" s="8"/>
      <c r="D170" s="8"/>
      <c r="E170" s="8"/>
      <c r="F170" s="8"/>
    </row>
    <row r="171" ht="37.5" customHeight="1">
      <c r="A171" s="8"/>
      <c r="B171" s="8"/>
      <c r="C171" s="8"/>
      <c r="D171" s="8"/>
      <c r="E171" s="8"/>
      <c r="F171" s="8"/>
    </row>
    <row r="172" ht="37.5" customHeight="1">
      <c r="A172" s="8"/>
      <c r="B172" s="8"/>
      <c r="C172" s="8"/>
      <c r="D172" s="8"/>
      <c r="E172" s="8"/>
      <c r="F172" s="8"/>
    </row>
    <row r="173" ht="37.5" customHeight="1">
      <c r="A173" s="8"/>
      <c r="B173" s="8"/>
      <c r="C173" s="8"/>
      <c r="D173" s="8"/>
      <c r="E173" s="8"/>
      <c r="F173" s="8"/>
    </row>
    <row r="174" ht="37.5" customHeight="1">
      <c r="A174" s="8"/>
      <c r="B174" s="8"/>
      <c r="C174" s="8"/>
      <c r="D174" s="8"/>
      <c r="E174" s="8"/>
      <c r="F174" s="8"/>
    </row>
    <row r="175" ht="37.5" customHeight="1">
      <c r="A175" s="8"/>
      <c r="B175" s="8"/>
      <c r="C175" s="8"/>
      <c r="D175" s="8"/>
      <c r="E175" s="8"/>
      <c r="F175" s="8"/>
    </row>
    <row r="176" ht="37.5" customHeight="1">
      <c r="A176" s="8"/>
      <c r="B176" s="8"/>
      <c r="C176" s="8"/>
      <c r="D176" s="8"/>
      <c r="E176" s="8"/>
      <c r="F176" s="8"/>
    </row>
    <row r="177" ht="37.5" customHeight="1">
      <c r="A177" s="8"/>
      <c r="B177" s="8"/>
      <c r="C177" s="8"/>
      <c r="D177" s="8"/>
      <c r="E177" s="8"/>
      <c r="F177" s="8"/>
    </row>
    <row r="178" ht="37.5" customHeight="1">
      <c r="A178" s="8"/>
      <c r="B178" s="8"/>
      <c r="C178" s="8"/>
      <c r="D178" s="8"/>
      <c r="E178" s="8"/>
      <c r="F178" s="8"/>
    </row>
    <row r="179" ht="37.5" customHeight="1">
      <c r="A179" s="8"/>
      <c r="B179" s="8"/>
      <c r="C179" s="8"/>
      <c r="D179" s="8"/>
      <c r="E179" s="8"/>
      <c r="F179" s="8"/>
    </row>
    <row r="180" ht="37.5" customHeight="1">
      <c r="A180" s="8"/>
      <c r="B180" s="8"/>
      <c r="C180" s="8"/>
      <c r="D180" s="8"/>
      <c r="E180" s="8"/>
      <c r="F180" s="8"/>
    </row>
    <row r="181" ht="37.5" customHeight="1">
      <c r="A181" s="8"/>
      <c r="B181" s="8"/>
      <c r="C181" s="8"/>
      <c r="D181" s="8"/>
      <c r="E181" s="8"/>
      <c r="F181" s="8"/>
    </row>
    <row r="182" ht="37.5" customHeight="1">
      <c r="A182" s="8"/>
      <c r="B182" s="8"/>
      <c r="C182" s="8"/>
      <c r="D182" s="8"/>
      <c r="E182" s="8"/>
      <c r="F182" s="8"/>
    </row>
    <row r="183" ht="37.5" customHeight="1">
      <c r="A183" s="8"/>
      <c r="B183" s="8"/>
      <c r="C183" s="8"/>
      <c r="D183" s="8"/>
      <c r="E183" s="8"/>
      <c r="F183" s="8"/>
    </row>
    <row r="184" ht="37.5" customHeight="1">
      <c r="A184" s="8"/>
      <c r="B184" s="8"/>
      <c r="C184" s="8"/>
      <c r="D184" s="8"/>
      <c r="E184" s="8"/>
      <c r="F184" s="8"/>
    </row>
    <row r="185" ht="37.5" customHeight="1">
      <c r="A185" s="8"/>
      <c r="B185" s="8"/>
      <c r="C185" s="8"/>
      <c r="D185" s="8"/>
      <c r="E185" s="8"/>
      <c r="F185" s="8"/>
    </row>
    <row r="186" ht="37.5" customHeight="1">
      <c r="A186" s="8"/>
      <c r="B186" s="8"/>
      <c r="C186" s="8"/>
      <c r="D186" s="8"/>
      <c r="E186" s="8"/>
      <c r="F186" s="8"/>
    </row>
    <row r="187" ht="37.5" customHeight="1">
      <c r="A187" s="8"/>
      <c r="B187" s="8"/>
      <c r="C187" s="8"/>
      <c r="D187" s="8"/>
      <c r="E187" s="8"/>
      <c r="F187" s="8"/>
    </row>
    <row r="188" ht="37.5" customHeight="1">
      <c r="A188" s="8"/>
      <c r="B188" s="8"/>
      <c r="C188" s="8"/>
      <c r="D188" s="8"/>
      <c r="E188" s="8"/>
      <c r="F188" s="8"/>
    </row>
    <row r="189" ht="37.5" customHeight="1">
      <c r="A189" s="8"/>
      <c r="B189" s="8"/>
      <c r="C189" s="8"/>
      <c r="D189" s="8"/>
      <c r="E189" s="8"/>
      <c r="F189" s="8"/>
    </row>
    <row r="190" ht="37.5" customHeight="1">
      <c r="A190" s="8"/>
      <c r="B190" s="8"/>
      <c r="C190" s="8"/>
      <c r="D190" s="8"/>
      <c r="E190" s="8"/>
      <c r="F190" s="8"/>
    </row>
    <row r="191" ht="37.5" customHeight="1">
      <c r="A191" s="8"/>
      <c r="B191" s="8"/>
      <c r="C191" s="8"/>
      <c r="D191" s="8"/>
      <c r="E191" s="8"/>
      <c r="F191" s="8"/>
    </row>
    <row r="192" ht="37.5" customHeight="1">
      <c r="A192" s="8"/>
      <c r="B192" s="8"/>
      <c r="C192" s="8"/>
      <c r="D192" s="8"/>
      <c r="E192" s="8"/>
      <c r="F192" s="8"/>
    </row>
    <row r="193" ht="37.5" customHeight="1">
      <c r="A193" s="8"/>
      <c r="B193" s="8"/>
      <c r="C193" s="8"/>
      <c r="D193" s="8"/>
      <c r="E193" s="8"/>
      <c r="F193" s="8"/>
    </row>
    <row r="194" ht="37.5" customHeight="1">
      <c r="A194" s="8"/>
      <c r="B194" s="8"/>
      <c r="C194" s="8"/>
      <c r="D194" s="8"/>
      <c r="E194" s="8"/>
      <c r="F194" s="8"/>
    </row>
    <row r="195" ht="37.5" customHeight="1">
      <c r="A195" s="8"/>
      <c r="B195" s="8"/>
      <c r="C195" s="8"/>
      <c r="D195" s="8"/>
      <c r="E195" s="8"/>
      <c r="F195" s="8"/>
    </row>
    <row r="196" ht="37.5" customHeight="1">
      <c r="A196" s="8"/>
      <c r="B196" s="8"/>
      <c r="C196" s="8"/>
      <c r="D196" s="8"/>
      <c r="E196" s="8"/>
      <c r="F196" s="8"/>
    </row>
    <row r="197" ht="37.5" customHeight="1">
      <c r="A197" s="8"/>
      <c r="B197" s="8"/>
      <c r="C197" s="8"/>
      <c r="D197" s="8"/>
      <c r="E197" s="8"/>
      <c r="F197" s="8"/>
    </row>
    <row r="198" ht="37.5" customHeight="1">
      <c r="A198" s="8"/>
      <c r="B198" s="8"/>
      <c r="C198" s="8"/>
      <c r="D198" s="8"/>
      <c r="E198" s="8"/>
      <c r="F198" s="8"/>
    </row>
    <row r="199" ht="37.5" customHeight="1">
      <c r="A199" s="8"/>
      <c r="B199" s="8"/>
      <c r="C199" s="8"/>
      <c r="D199" s="8"/>
      <c r="E199" s="8"/>
      <c r="F199" s="8"/>
    </row>
    <row r="200" ht="37.5" customHeight="1">
      <c r="A200" s="8"/>
      <c r="B200" s="8"/>
      <c r="C200" s="8"/>
      <c r="D200" s="8"/>
      <c r="E200" s="8"/>
      <c r="F200" s="8"/>
    </row>
    <row r="201" ht="37.5" customHeight="1">
      <c r="A201" s="8"/>
      <c r="B201" s="8"/>
      <c r="C201" s="8"/>
      <c r="D201" s="8"/>
      <c r="E201" s="8"/>
      <c r="F201" s="8"/>
    </row>
    <row r="202" ht="37.5" customHeight="1">
      <c r="A202" s="8"/>
      <c r="B202" s="8"/>
      <c r="C202" s="8"/>
      <c r="D202" s="8"/>
      <c r="E202" s="8"/>
      <c r="F202" s="8"/>
    </row>
    <row r="203" ht="37.5" customHeight="1">
      <c r="A203" s="8"/>
      <c r="B203" s="8"/>
      <c r="C203" s="8"/>
      <c r="D203" s="8"/>
      <c r="E203" s="8"/>
      <c r="F203" s="8"/>
    </row>
    <row r="204" ht="37.5" customHeight="1">
      <c r="A204" s="8"/>
      <c r="B204" s="8"/>
      <c r="C204" s="8"/>
      <c r="D204" s="8"/>
      <c r="E204" s="8"/>
      <c r="F204" s="8"/>
    </row>
    <row r="205" ht="37.5" customHeight="1">
      <c r="A205" s="8"/>
      <c r="B205" s="8"/>
      <c r="C205" s="8"/>
      <c r="D205" s="8"/>
      <c r="E205" s="8"/>
      <c r="F205" s="8"/>
    </row>
    <row r="206" ht="37.5" customHeight="1">
      <c r="A206" s="8"/>
      <c r="B206" s="8"/>
      <c r="C206" s="8"/>
      <c r="D206" s="8"/>
      <c r="E206" s="8"/>
      <c r="F206" s="8"/>
    </row>
    <row r="207" ht="37.5" customHeight="1">
      <c r="A207" s="8"/>
      <c r="B207" s="8"/>
      <c r="C207" s="8"/>
      <c r="D207" s="8"/>
      <c r="E207" s="8"/>
      <c r="F207" s="8"/>
    </row>
    <row r="208" ht="37.5" customHeight="1">
      <c r="A208" s="8"/>
      <c r="B208" s="8"/>
      <c r="C208" s="8"/>
      <c r="D208" s="8"/>
      <c r="E208" s="8"/>
      <c r="F208" s="8"/>
    </row>
    <row r="209" ht="37.5" customHeight="1">
      <c r="A209" s="8"/>
      <c r="B209" s="8"/>
      <c r="C209" s="8"/>
      <c r="D209" s="8"/>
      <c r="E209" s="8"/>
      <c r="F209" s="8"/>
    </row>
    <row r="210" ht="37.5" customHeight="1">
      <c r="A210" s="8"/>
      <c r="B210" s="8"/>
      <c r="C210" s="8"/>
      <c r="D210" s="8"/>
      <c r="E210" s="8"/>
      <c r="F210" s="8"/>
    </row>
    <row r="211" ht="37.5" customHeight="1">
      <c r="A211" s="8"/>
      <c r="B211" s="8"/>
      <c r="C211" s="8"/>
      <c r="D211" s="8"/>
      <c r="E211" s="8"/>
      <c r="F211" s="8"/>
    </row>
    <row r="212" ht="37.5" customHeight="1">
      <c r="A212" s="8"/>
      <c r="B212" s="8"/>
      <c r="C212" s="8"/>
      <c r="D212" s="8"/>
      <c r="E212" s="8"/>
      <c r="F212" s="8"/>
    </row>
    <row r="213" ht="37.5" customHeight="1">
      <c r="A213" s="8"/>
      <c r="B213" s="8"/>
      <c r="C213" s="8"/>
      <c r="D213" s="8"/>
      <c r="E213" s="8"/>
      <c r="F213" s="8"/>
    </row>
    <row r="214" ht="37.5" customHeight="1">
      <c r="A214" s="8"/>
      <c r="B214" s="8"/>
      <c r="C214" s="8"/>
      <c r="D214" s="8"/>
      <c r="E214" s="8"/>
      <c r="F214" s="8"/>
    </row>
    <row r="215" ht="37.5" customHeight="1">
      <c r="A215" s="8"/>
      <c r="B215" s="8"/>
      <c r="C215" s="8"/>
      <c r="D215" s="8"/>
      <c r="E215" s="8"/>
      <c r="F215" s="8"/>
    </row>
    <row r="216" ht="37.5" customHeight="1">
      <c r="A216" s="8"/>
      <c r="B216" s="8"/>
      <c r="C216" s="8"/>
      <c r="D216" s="8"/>
      <c r="E216" s="8"/>
      <c r="F216" s="8"/>
    </row>
    <row r="217" ht="37.5" customHeight="1">
      <c r="A217" s="8"/>
      <c r="B217" s="8"/>
      <c r="C217" s="8"/>
      <c r="D217" s="8"/>
      <c r="E217" s="8"/>
      <c r="F217" s="8"/>
    </row>
    <row r="218" ht="37.5" customHeight="1">
      <c r="A218" s="8"/>
      <c r="B218" s="8"/>
      <c r="C218" s="8"/>
      <c r="D218" s="8"/>
      <c r="E218" s="8"/>
      <c r="F218" s="8"/>
    </row>
    <row r="219" ht="37.5" customHeight="1">
      <c r="A219" s="8"/>
      <c r="B219" s="8"/>
      <c r="C219" s="8"/>
      <c r="D219" s="8"/>
      <c r="E219" s="8"/>
      <c r="F219" s="8"/>
    </row>
    <row r="220" ht="37.5" customHeight="1">
      <c r="A220" s="8"/>
      <c r="B220" s="8"/>
      <c r="C220" s="8"/>
      <c r="D220" s="8"/>
      <c r="E220" s="8"/>
      <c r="F220" s="8"/>
    </row>
    <row r="221" ht="37.5" customHeight="1">
      <c r="A221" s="8"/>
      <c r="B221" s="8"/>
      <c r="C221" s="8"/>
      <c r="D221" s="8"/>
      <c r="E221" s="8"/>
      <c r="F221" s="8"/>
    </row>
    <row r="222" ht="37.5" customHeight="1">
      <c r="A222" s="8"/>
      <c r="B222" s="8"/>
      <c r="C222" s="8"/>
      <c r="D222" s="8"/>
      <c r="E222" s="8"/>
      <c r="F222" s="8"/>
    </row>
    <row r="223" ht="37.5" customHeight="1">
      <c r="A223" s="8"/>
      <c r="B223" s="8"/>
      <c r="C223" s="8"/>
      <c r="D223" s="8"/>
      <c r="E223" s="8"/>
      <c r="F223" s="8"/>
    </row>
    <row r="224" ht="37.5" customHeight="1">
      <c r="A224" s="8"/>
      <c r="B224" s="8"/>
      <c r="C224" s="8"/>
      <c r="D224" s="8"/>
      <c r="E224" s="8"/>
      <c r="F224" s="8"/>
    </row>
    <row r="225" ht="37.5" customHeight="1">
      <c r="A225" s="8"/>
      <c r="B225" s="8"/>
      <c r="C225" s="8"/>
      <c r="D225" s="8"/>
      <c r="E225" s="8"/>
      <c r="F225" s="8"/>
    </row>
    <row r="226" ht="37.5" customHeight="1">
      <c r="A226" s="8"/>
      <c r="B226" s="8"/>
      <c r="C226" s="8"/>
      <c r="D226" s="8"/>
      <c r="E226" s="8"/>
      <c r="F226" s="8"/>
    </row>
    <row r="227" ht="37.5" customHeight="1">
      <c r="A227" s="8"/>
      <c r="B227" s="8"/>
      <c r="C227" s="8"/>
      <c r="D227" s="8"/>
      <c r="E227" s="8"/>
      <c r="F227" s="8"/>
    </row>
    <row r="228" ht="37.5" customHeight="1">
      <c r="A228" s="8"/>
      <c r="B228" s="8"/>
      <c r="C228" s="8"/>
      <c r="D228" s="8"/>
      <c r="E228" s="8"/>
      <c r="F228" s="8"/>
    </row>
    <row r="229" ht="37.5" customHeight="1">
      <c r="A229" s="8"/>
      <c r="B229" s="8"/>
      <c r="C229" s="8"/>
      <c r="D229" s="8"/>
      <c r="E229" s="8"/>
      <c r="F229" s="8"/>
    </row>
    <row r="230" ht="37.5" customHeight="1">
      <c r="A230" s="8"/>
      <c r="B230" s="8"/>
      <c r="C230" s="8"/>
      <c r="D230" s="8"/>
      <c r="E230" s="8"/>
      <c r="F230" s="8"/>
    </row>
    <row r="231" ht="37.5" customHeight="1">
      <c r="A231" s="8"/>
      <c r="B231" s="8"/>
      <c r="C231" s="8"/>
      <c r="D231" s="8"/>
      <c r="E231" s="8"/>
      <c r="F231" s="8"/>
    </row>
    <row r="232" ht="37.5" customHeight="1">
      <c r="A232" s="8"/>
      <c r="B232" s="8"/>
      <c r="C232" s="8"/>
      <c r="D232" s="8"/>
      <c r="E232" s="8"/>
      <c r="F232" s="8"/>
    </row>
    <row r="233" ht="37.5" customHeight="1">
      <c r="A233" s="8"/>
      <c r="B233" s="8"/>
      <c r="C233" s="8"/>
      <c r="D233" s="8"/>
      <c r="E233" s="8"/>
      <c r="F233" s="8"/>
    </row>
    <row r="234" ht="37.5" customHeight="1">
      <c r="A234" s="8"/>
      <c r="B234" s="8"/>
      <c r="C234" s="8"/>
      <c r="D234" s="8"/>
      <c r="E234" s="8"/>
      <c r="F234" s="8"/>
    </row>
    <row r="235" ht="37.5" customHeight="1">
      <c r="A235" s="8"/>
      <c r="B235" s="8"/>
      <c r="C235" s="8"/>
      <c r="D235" s="8"/>
      <c r="E235" s="8"/>
      <c r="F235" s="8"/>
    </row>
    <row r="236" ht="37.5" customHeight="1">
      <c r="A236" s="8"/>
      <c r="B236" s="8"/>
      <c r="C236" s="8"/>
      <c r="D236" s="8"/>
      <c r="E236" s="8"/>
      <c r="F236" s="8"/>
    </row>
    <row r="237" ht="37.5" customHeight="1">
      <c r="A237" s="8"/>
      <c r="B237" s="8"/>
      <c r="C237" s="8"/>
      <c r="D237" s="8"/>
      <c r="E237" s="8"/>
      <c r="F237" s="8"/>
    </row>
    <row r="238" ht="37.5" customHeight="1">
      <c r="A238" s="8"/>
      <c r="B238" s="8"/>
      <c r="C238" s="8"/>
      <c r="D238" s="8"/>
      <c r="E238" s="8"/>
      <c r="F238" s="8"/>
    </row>
    <row r="239" ht="37.5" customHeight="1">
      <c r="A239" s="8"/>
      <c r="B239" s="8"/>
      <c r="C239" s="8"/>
      <c r="D239" s="8"/>
      <c r="E239" s="8"/>
      <c r="F239" s="8"/>
    </row>
    <row r="240" ht="37.5" customHeight="1">
      <c r="A240" s="8"/>
      <c r="B240" s="8"/>
      <c r="C240" s="8"/>
      <c r="D240" s="8"/>
      <c r="E240" s="8"/>
      <c r="F240" s="8"/>
    </row>
    <row r="241" ht="37.5" customHeight="1">
      <c r="A241" s="8"/>
      <c r="B241" s="8"/>
      <c r="C241" s="8"/>
      <c r="D241" s="8"/>
      <c r="E241" s="8"/>
      <c r="F241" s="8"/>
    </row>
    <row r="242" ht="37.5" customHeight="1">
      <c r="A242" s="8"/>
      <c r="B242" s="8"/>
      <c r="C242" s="8"/>
      <c r="D242" s="8"/>
      <c r="E242" s="8"/>
      <c r="F242" s="8"/>
    </row>
    <row r="243" ht="37.5" customHeight="1">
      <c r="A243" s="8"/>
      <c r="B243" s="8"/>
      <c r="C243" s="8"/>
      <c r="D243" s="8"/>
      <c r="E243" s="8"/>
      <c r="F243" s="8"/>
    </row>
    <row r="244" ht="37.5" customHeight="1">
      <c r="A244" s="8"/>
      <c r="B244" s="8"/>
      <c r="C244" s="8"/>
      <c r="D244" s="8"/>
      <c r="E244" s="8"/>
      <c r="F244" s="8"/>
    </row>
    <row r="245" ht="37.5" customHeight="1">
      <c r="A245" s="8"/>
      <c r="B245" s="8"/>
      <c r="C245" s="8"/>
      <c r="D245" s="8"/>
      <c r="E245" s="8"/>
      <c r="F245" s="8"/>
    </row>
    <row r="246" ht="37.5" customHeight="1">
      <c r="A246" s="8"/>
      <c r="B246" s="8"/>
      <c r="C246" s="8"/>
      <c r="D246" s="8"/>
      <c r="E246" s="8"/>
      <c r="F246" s="8"/>
    </row>
    <row r="247" ht="37.5" customHeight="1">
      <c r="A247" s="8"/>
      <c r="B247" s="8"/>
      <c r="C247" s="8"/>
      <c r="D247" s="8"/>
      <c r="E247" s="8"/>
      <c r="F247" s="8"/>
    </row>
    <row r="248" ht="37.5" customHeight="1">
      <c r="A248" s="8"/>
      <c r="B248" s="8"/>
      <c r="C248" s="8"/>
      <c r="D248" s="8"/>
      <c r="E248" s="8"/>
      <c r="F248" s="8"/>
    </row>
    <row r="249" ht="37.5" customHeight="1">
      <c r="A249" s="8"/>
      <c r="B249" s="8"/>
      <c r="C249" s="8"/>
      <c r="D249" s="8"/>
      <c r="E249" s="8"/>
      <c r="F249" s="8"/>
    </row>
    <row r="250" ht="37.5" customHeight="1">
      <c r="A250" s="8"/>
      <c r="B250" s="8"/>
      <c r="C250" s="8"/>
      <c r="D250" s="8"/>
      <c r="E250" s="8"/>
      <c r="F250" s="8"/>
    </row>
    <row r="251" ht="37.5" customHeight="1">
      <c r="A251" s="8"/>
      <c r="B251" s="8"/>
      <c r="C251" s="8"/>
      <c r="D251" s="8"/>
      <c r="E251" s="8"/>
      <c r="F251" s="8"/>
    </row>
    <row r="252" ht="37.5" customHeight="1">
      <c r="A252" s="8"/>
      <c r="B252" s="8"/>
      <c r="C252" s="8"/>
      <c r="D252" s="8"/>
      <c r="E252" s="8"/>
      <c r="F252" s="8"/>
    </row>
    <row r="253" ht="37.5" customHeight="1">
      <c r="A253" s="8"/>
      <c r="B253" s="8"/>
      <c r="C253" s="8"/>
      <c r="D253" s="8"/>
      <c r="E253" s="8"/>
      <c r="F253" s="8"/>
    </row>
    <row r="254" ht="37.5" customHeight="1">
      <c r="A254" s="8"/>
      <c r="B254" s="8"/>
      <c r="C254" s="8"/>
      <c r="D254" s="8"/>
      <c r="E254" s="8"/>
      <c r="F254" s="8"/>
    </row>
    <row r="255" ht="37.5" customHeight="1">
      <c r="A255" s="8"/>
      <c r="B255" s="8"/>
      <c r="C255" s="8"/>
      <c r="D255" s="8"/>
      <c r="E255" s="8"/>
      <c r="F255" s="8"/>
    </row>
    <row r="256" ht="37.5" customHeight="1">
      <c r="A256" s="8"/>
      <c r="B256" s="8"/>
      <c r="C256" s="8"/>
      <c r="D256" s="8"/>
      <c r="E256" s="8"/>
      <c r="F256" s="8"/>
    </row>
    <row r="257" ht="37.5" customHeight="1">
      <c r="A257" s="8"/>
      <c r="B257" s="8"/>
      <c r="C257" s="8"/>
      <c r="D257" s="8"/>
      <c r="E257" s="8"/>
      <c r="F257" s="8"/>
    </row>
    <row r="258" ht="37.5" customHeight="1">
      <c r="A258" s="8"/>
      <c r="B258" s="8"/>
      <c r="C258" s="8"/>
      <c r="D258" s="8"/>
      <c r="E258" s="8"/>
      <c r="F258" s="8"/>
    </row>
    <row r="259" ht="37.5" customHeight="1">
      <c r="A259" s="8"/>
      <c r="B259" s="8"/>
      <c r="C259" s="8"/>
      <c r="D259" s="8"/>
      <c r="E259" s="8"/>
      <c r="F259" s="8"/>
    </row>
    <row r="260" ht="37.5" customHeight="1">
      <c r="A260" s="8"/>
      <c r="B260" s="8"/>
      <c r="C260" s="8"/>
      <c r="D260" s="8"/>
      <c r="E260" s="8"/>
      <c r="F260" s="8"/>
    </row>
    <row r="261" ht="37.5" customHeight="1">
      <c r="A261" s="8"/>
      <c r="B261" s="8"/>
      <c r="C261" s="8"/>
      <c r="D261" s="8"/>
      <c r="E261" s="8"/>
      <c r="F261" s="8"/>
    </row>
    <row r="262" ht="37.5" customHeight="1">
      <c r="A262" s="8"/>
      <c r="B262" s="8"/>
      <c r="C262" s="8"/>
      <c r="D262" s="8"/>
      <c r="E262" s="8"/>
      <c r="F262" s="8"/>
    </row>
    <row r="263" ht="37.5" customHeight="1">
      <c r="A263" s="8"/>
      <c r="B263" s="8"/>
      <c r="C263" s="8"/>
      <c r="D263" s="8"/>
      <c r="E263" s="8"/>
      <c r="F263" s="8"/>
    </row>
    <row r="264" ht="37.5" customHeight="1">
      <c r="A264" s="8"/>
      <c r="B264" s="8"/>
      <c r="C264" s="8"/>
      <c r="D264" s="8"/>
      <c r="E264" s="8"/>
      <c r="F264" s="8"/>
    </row>
    <row r="265" ht="37.5" customHeight="1">
      <c r="A265" s="8"/>
      <c r="B265" s="8"/>
      <c r="C265" s="8"/>
      <c r="D265" s="8"/>
      <c r="E265" s="8"/>
      <c r="F265" s="8"/>
    </row>
    <row r="266" ht="37.5" customHeight="1">
      <c r="A266" s="8"/>
      <c r="B266" s="8"/>
      <c r="C266" s="8"/>
      <c r="D266" s="8"/>
      <c r="E266" s="8"/>
      <c r="F266" s="8"/>
    </row>
    <row r="267" ht="37.5" customHeight="1">
      <c r="A267" s="8"/>
      <c r="B267" s="8"/>
      <c r="C267" s="8"/>
      <c r="D267" s="8"/>
      <c r="E267" s="8"/>
      <c r="F267" s="8"/>
    </row>
    <row r="268" ht="37.5" customHeight="1">
      <c r="A268" s="8"/>
      <c r="B268" s="8"/>
      <c r="C268" s="8"/>
      <c r="D268" s="8"/>
      <c r="E268" s="8"/>
      <c r="F268" s="8"/>
    </row>
    <row r="269" ht="37.5" customHeight="1">
      <c r="A269" s="8"/>
      <c r="B269" s="8"/>
      <c r="C269" s="8"/>
      <c r="D269" s="8"/>
      <c r="E269" s="8"/>
      <c r="F269" s="8"/>
    </row>
    <row r="270" ht="37.5" customHeight="1">
      <c r="A270" s="8"/>
      <c r="B270" s="8"/>
      <c r="C270" s="8"/>
      <c r="D270" s="8"/>
      <c r="E270" s="8"/>
      <c r="F270" s="8"/>
    </row>
    <row r="271" ht="37.5" customHeight="1">
      <c r="A271" s="8"/>
      <c r="B271" s="8"/>
      <c r="C271" s="8"/>
      <c r="D271" s="8"/>
      <c r="E271" s="8"/>
      <c r="F271" s="8"/>
    </row>
    <row r="272" ht="37.5" customHeight="1">
      <c r="A272" s="8"/>
      <c r="B272" s="8"/>
      <c r="C272" s="8"/>
      <c r="D272" s="8"/>
      <c r="E272" s="8"/>
      <c r="F272" s="8"/>
    </row>
    <row r="273" ht="37.5" customHeight="1">
      <c r="A273" s="8"/>
      <c r="B273" s="8"/>
      <c r="C273" s="8"/>
      <c r="D273" s="8"/>
      <c r="E273" s="8"/>
      <c r="F273" s="8"/>
    </row>
    <row r="274" ht="37.5" customHeight="1">
      <c r="A274" s="8"/>
      <c r="B274" s="8"/>
      <c r="C274" s="8"/>
      <c r="D274" s="8"/>
      <c r="E274" s="8"/>
      <c r="F274" s="8"/>
    </row>
    <row r="275" ht="37.5" customHeight="1">
      <c r="A275" s="8"/>
      <c r="B275" s="8"/>
      <c r="C275" s="8"/>
      <c r="D275" s="8"/>
      <c r="E275" s="8"/>
      <c r="F275" s="8"/>
    </row>
    <row r="276" ht="37.5" customHeight="1">
      <c r="A276" s="8"/>
      <c r="B276" s="8"/>
      <c r="C276" s="8"/>
      <c r="D276" s="8"/>
      <c r="E276" s="8"/>
      <c r="F276" s="8"/>
    </row>
    <row r="277" ht="37.5" customHeight="1">
      <c r="A277" s="8"/>
      <c r="B277" s="8"/>
      <c r="C277" s="8"/>
      <c r="D277" s="8"/>
      <c r="E277" s="8"/>
      <c r="F277" s="8"/>
    </row>
    <row r="278" ht="37.5" customHeight="1">
      <c r="A278" s="8"/>
      <c r="B278" s="8"/>
      <c r="C278" s="8"/>
      <c r="D278" s="8"/>
      <c r="E278" s="8"/>
      <c r="F278" s="8"/>
    </row>
    <row r="279" ht="37.5" customHeight="1">
      <c r="A279" s="8"/>
      <c r="B279" s="8"/>
      <c r="C279" s="8"/>
      <c r="D279" s="8"/>
      <c r="E279" s="8"/>
      <c r="F279" s="8"/>
    </row>
    <row r="280" ht="37.5" customHeight="1">
      <c r="A280" s="8"/>
      <c r="B280" s="8"/>
      <c r="C280" s="8"/>
      <c r="D280" s="8"/>
      <c r="E280" s="8"/>
      <c r="F280" s="8"/>
    </row>
    <row r="281" ht="37.5" customHeight="1">
      <c r="A281" s="8"/>
      <c r="B281" s="8"/>
      <c r="C281" s="8"/>
      <c r="D281" s="8"/>
      <c r="E281" s="8"/>
      <c r="F281" s="8"/>
    </row>
    <row r="282" ht="37.5" customHeight="1">
      <c r="A282" s="8"/>
      <c r="B282" s="8"/>
      <c r="C282" s="8"/>
      <c r="D282" s="8"/>
      <c r="E282" s="8"/>
      <c r="F282" s="8"/>
    </row>
    <row r="283" ht="37.5" customHeight="1">
      <c r="A283" s="8"/>
      <c r="B283" s="8"/>
      <c r="C283" s="8"/>
      <c r="D283" s="8"/>
      <c r="E283" s="8"/>
      <c r="F283" s="8"/>
    </row>
    <row r="284" ht="37.5" customHeight="1">
      <c r="A284" s="8"/>
      <c r="B284" s="8"/>
      <c r="C284" s="8"/>
      <c r="D284" s="8"/>
      <c r="E284" s="8"/>
      <c r="F284" s="8"/>
    </row>
    <row r="285" ht="37.5" customHeight="1">
      <c r="A285" s="8"/>
      <c r="B285" s="8"/>
      <c r="C285" s="8"/>
      <c r="D285" s="8"/>
      <c r="E285" s="8"/>
      <c r="F285" s="8"/>
    </row>
    <row r="286" ht="37.5" customHeight="1">
      <c r="A286" s="8"/>
      <c r="B286" s="8"/>
      <c r="C286" s="8"/>
      <c r="D286" s="8"/>
      <c r="E286" s="8"/>
      <c r="F286" s="8"/>
    </row>
    <row r="287" ht="37.5" customHeight="1">
      <c r="A287" s="8"/>
      <c r="B287" s="8"/>
      <c r="C287" s="8"/>
      <c r="D287" s="8"/>
      <c r="E287" s="8"/>
      <c r="F287" s="8"/>
    </row>
    <row r="288" ht="37.5" customHeight="1">
      <c r="A288" s="8"/>
      <c r="B288" s="8"/>
      <c r="C288" s="8"/>
      <c r="D288" s="8"/>
      <c r="E288" s="8"/>
      <c r="F288" s="8"/>
    </row>
    <row r="289" ht="37.5" customHeight="1">
      <c r="A289" s="8"/>
      <c r="B289" s="8"/>
      <c r="C289" s="8"/>
      <c r="D289" s="8"/>
      <c r="E289" s="8"/>
      <c r="F289" s="8"/>
    </row>
    <row r="290" ht="37.5" customHeight="1">
      <c r="A290" s="8"/>
      <c r="B290" s="8"/>
      <c r="C290" s="8"/>
      <c r="D290" s="8"/>
      <c r="E290" s="8"/>
      <c r="F290" s="8"/>
    </row>
    <row r="291" ht="37.5" customHeight="1">
      <c r="A291" s="8"/>
      <c r="B291" s="8"/>
      <c r="C291" s="8"/>
      <c r="D291" s="8"/>
      <c r="E291" s="8"/>
      <c r="F291" s="8"/>
    </row>
    <row r="292" ht="37.5" customHeight="1">
      <c r="A292" s="8"/>
      <c r="B292" s="8"/>
      <c r="C292" s="8"/>
      <c r="D292" s="8"/>
      <c r="E292" s="8"/>
      <c r="F292" s="8"/>
    </row>
    <row r="293" ht="37.5" customHeight="1">
      <c r="A293" s="8"/>
      <c r="B293" s="8"/>
      <c r="C293" s="8"/>
      <c r="D293" s="8"/>
      <c r="E293" s="8"/>
      <c r="F293" s="8"/>
    </row>
    <row r="294" ht="37.5" customHeight="1">
      <c r="A294" s="8"/>
      <c r="B294" s="8"/>
      <c r="C294" s="8"/>
      <c r="D294" s="8"/>
      <c r="E294" s="8"/>
      <c r="F294" s="8"/>
    </row>
    <row r="295" ht="37.5" customHeight="1">
      <c r="A295" s="8"/>
      <c r="B295" s="8"/>
      <c r="C295" s="8"/>
      <c r="D295" s="8"/>
      <c r="E295" s="8"/>
      <c r="F295" s="8"/>
    </row>
    <row r="296" ht="37.5" customHeight="1">
      <c r="A296" s="8"/>
      <c r="B296" s="8"/>
      <c r="C296" s="8"/>
      <c r="D296" s="8"/>
      <c r="E296" s="8"/>
      <c r="F296" s="8"/>
    </row>
    <row r="297" ht="37.5" customHeight="1">
      <c r="A297" s="8"/>
      <c r="B297" s="8"/>
      <c r="C297" s="8"/>
      <c r="D297" s="8"/>
      <c r="E297" s="8"/>
      <c r="F297" s="8"/>
    </row>
    <row r="298" ht="37.5" customHeight="1">
      <c r="A298" s="8"/>
      <c r="B298" s="8"/>
      <c r="C298" s="8"/>
      <c r="D298" s="8"/>
      <c r="E298" s="8"/>
      <c r="F298" s="8"/>
    </row>
    <row r="299" ht="37.5" customHeight="1">
      <c r="A299" s="8"/>
      <c r="B299" s="8"/>
      <c r="C299" s="8"/>
      <c r="D299" s="8"/>
      <c r="E299" s="8"/>
      <c r="F299" s="8"/>
    </row>
    <row r="300" ht="37.5" customHeight="1">
      <c r="A300" s="8"/>
      <c r="B300" s="8"/>
      <c r="C300" s="8"/>
      <c r="D300" s="8"/>
      <c r="E300" s="8"/>
      <c r="F300" s="8"/>
    </row>
    <row r="301" ht="37.5" customHeight="1">
      <c r="A301" s="8"/>
      <c r="B301" s="8"/>
      <c r="C301" s="8"/>
      <c r="D301" s="8"/>
      <c r="E301" s="8"/>
      <c r="F301" s="8"/>
    </row>
    <row r="302" ht="37.5" customHeight="1">
      <c r="A302" s="8"/>
      <c r="B302" s="8"/>
      <c r="C302" s="8"/>
      <c r="D302" s="8"/>
      <c r="E302" s="8"/>
      <c r="F302" s="8"/>
    </row>
    <row r="303" ht="37.5" customHeight="1">
      <c r="A303" s="8"/>
      <c r="B303" s="8"/>
      <c r="C303" s="8"/>
      <c r="D303" s="8"/>
      <c r="E303" s="8"/>
      <c r="F303" s="8"/>
    </row>
    <row r="304" ht="37.5" customHeight="1">
      <c r="A304" s="8"/>
      <c r="B304" s="8"/>
      <c r="C304" s="8"/>
      <c r="D304" s="8"/>
      <c r="E304" s="8"/>
      <c r="F304" s="8"/>
    </row>
    <row r="305" ht="37.5" customHeight="1">
      <c r="A305" s="8"/>
      <c r="B305" s="8"/>
      <c r="C305" s="8"/>
      <c r="D305" s="8"/>
      <c r="E305" s="8"/>
      <c r="F305" s="8"/>
    </row>
    <row r="306" ht="37.5" customHeight="1">
      <c r="A306" s="8"/>
      <c r="B306" s="8"/>
      <c r="C306" s="8"/>
      <c r="D306" s="8"/>
      <c r="E306" s="8"/>
      <c r="F306" s="8"/>
    </row>
    <row r="307" ht="37.5" customHeight="1">
      <c r="A307" s="8"/>
      <c r="B307" s="8"/>
      <c r="C307" s="8"/>
      <c r="D307" s="8"/>
      <c r="E307" s="8"/>
      <c r="F307" s="8"/>
    </row>
    <row r="308" ht="37.5" customHeight="1">
      <c r="A308" s="8"/>
      <c r="B308" s="8"/>
      <c r="C308" s="8"/>
      <c r="D308" s="8"/>
      <c r="E308" s="8"/>
      <c r="F308" s="8"/>
    </row>
    <row r="309" ht="37.5" customHeight="1">
      <c r="A309" s="8"/>
      <c r="B309" s="8"/>
      <c r="C309" s="8"/>
      <c r="D309" s="8"/>
      <c r="E309" s="8"/>
      <c r="F309" s="8"/>
    </row>
    <row r="310" ht="37.5" customHeight="1">
      <c r="A310" s="8"/>
      <c r="B310" s="8"/>
      <c r="C310" s="8"/>
      <c r="D310" s="8"/>
      <c r="E310" s="8"/>
      <c r="F310" s="8"/>
    </row>
    <row r="311" ht="37.5" customHeight="1">
      <c r="A311" s="8"/>
      <c r="B311" s="8"/>
      <c r="C311" s="8"/>
      <c r="D311" s="8"/>
      <c r="E311" s="8"/>
      <c r="F311" s="8"/>
    </row>
    <row r="312" ht="37.5" customHeight="1">
      <c r="A312" s="8"/>
      <c r="B312" s="8"/>
      <c r="C312" s="8"/>
      <c r="D312" s="8"/>
      <c r="E312" s="8"/>
      <c r="F312" s="8"/>
    </row>
    <row r="313" ht="37.5" customHeight="1">
      <c r="A313" s="8"/>
      <c r="B313" s="8"/>
      <c r="C313" s="8"/>
      <c r="D313" s="8"/>
      <c r="E313" s="8"/>
      <c r="F313" s="8"/>
    </row>
    <row r="314" ht="37.5" customHeight="1">
      <c r="A314" s="8"/>
      <c r="B314" s="8"/>
      <c r="C314" s="8"/>
      <c r="D314" s="8"/>
      <c r="E314" s="8"/>
      <c r="F314" s="8"/>
    </row>
    <row r="315" ht="37.5" customHeight="1">
      <c r="A315" s="8"/>
      <c r="B315" s="8"/>
      <c r="C315" s="8"/>
      <c r="D315" s="8"/>
      <c r="E315" s="8"/>
      <c r="F315" s="8"/>
    </row>
    <row r="316" ht="37.5" customHeight="1">
      <c r="A316" s="8"/>
      <c r="B316" s="8"/>
      <c r="C316" s="8"/>
      <c r="D316" s="8"/>
      <c r="E316" s="8"/>
      <c r="F316" s="8"/>
    </row>
    <row r="317" ht="37.5" customHeight="1">
      <c r="A317" s="8"/>
      <c r="B317" s="8"/>
      <c r="C317" s="8"/>
      <c r="D317" s="8"/>
      <c r="E317" s="8"/>
      <c r="F317" s="8"/>
    </row>
    <row r="318" ht="37.5" customHeight="1">
      <c r="A318" s="8"/>
      <c r="B318" s="8"/>
      <c r="C318" s="8"/>
      <c r="D318" s="8"/>
      <c r="E318" s="8"/>
      <c r="F318" s="8"/>
    </row>
    <row r="319" ht="37.5" customHeight="1">
      <c r="A319" s="8"/>
      <c r="B319" s="8"/>
      <c r="C319" s="8"/>
      <c r="D319" s="8"/>
      <c r="E319" s="8"/>
      <c r="F319" s="8"/>
    </row>
    <row r="320" ht="37.5" customHeight="1">
      <c r="A320" s="8"/>
      <c r="B320" s="8"/>
      <c r="C320" s="8"/>
      <c r="D320" s="8"/>
      <c r="E320" s="8"/>
      <c r="F320" s="8"/>
    </row>
    <row r="321" ht="37.5" customHeight="1">
      <c r="A321" s="8"/>
      <c r="B321" s="8"/>
      <c r="C321" s="8"/>
      <c r="D321" s="8"/>
      <c r="E321" s="8"/>
      <c r="F321" s="8"/>
    </row>
    <row r="322" ht="37.5" customHeight="1">
      <c r="A322" s="8"/>
      <c r="B322" s="8"/>
      <c r="C322" s="8"/>
      <c r="D322" s="8"/>
      <c r="E322" s="8"/>
      <c r="F322" s="8"/>
    </row>
    <row r="323" ht="37.5" customHeight="1">
      <c r="A323" s="8"/>
      <c r="B323" s="8"/>
      <c r="C323" s="8"/>
      <c r="D323" s="8"/>
      <c r="E323" s="8"/>
      <c r="F323" s="8"/>
    </row>
    <row r="324" ht="37.5" customHeight="1">
      <c r="A324" s="8"/>
      <c r="B324" s="8"/>
      <c r="C324" s="8"/>
      <c r="D324" s="8"/>
      <c r="E324" s="8"/>
      <c r="F324" s="8"/>
    </row>
    <row r="325" ht="37.5" customHeight="1">
      <c r="A325" s="8"/>
      <c r="B325" s="8"/>
      <c r="C325" s="8"/>
      <c r="D325" s="8"/>
      <c r="E325" s="8"/>
      <c r="F325" s="8"/>
    </row>
    <row r="326" ht="37.5" customHeight="1">
      <c r="A326" s="8"/>
      <c r="B326" s="8"/>
      <c r="C326" s="8"/>
      <c r="D326" s="8"/>
      <c r="E326" s="8"/>
      <c r="F326" s="8"/>
    </row>
    <row r="327" ht="37.5" customHeight="1">
      <c r="A327" s="8"/>
      <c r="B327" s="8"/>
      <c r="C327" s="8"/>
      <c r="D327" s="8"/>
      <c r="E327" s="8"/>
      <c r="F327" s="8"/>
    </row>
    <row r="328" ht="37.5" customHeight="1">
      <c r="A328" s="8"/>
      <c r="B328" s="8"/>
      <c r="C328" s="8"/>
      <c r="D328" s="8"/>
      <c r="E328" s="8"/>
      <c r="F328" s="8"/>
    </row>
    <row r="329" ht="37.5" customHeight="1">
      <c r="A329" s="8"/>
      <c r="B329" s="8"/>
      <c r="C329" s="8"/>
      <c r="D329" s="8"/>
      <c r="E329" s="8"/>
      <c r="F329" s="8"/>
    </row>
    <row r="330" ht="37.5" customHeight="1">
      <c r="A330" s="8"/>
      <c r="B330" s="8"/>
      <c r="C330" s="8"/>
      <c r="D330" s="8"/>
      <c r="E330" s="8"/>
      <c r="F330" s="8"/>
    </row>
    <row r="331" ht="37.5" customHeight="1">
      <c r="A331" s="8"/>
      <c r="B331" s="8"/>
      <c r="C331" s="8"/>
      <c r="D331" s="8"/>
      <c r="E331" s="8"/>
      <c r="F331" s="8"/>
    </row>
    <row r="332" ht="37.5" customHeight="1">
      <c r="A332" s="8"/>
      <c r="B332" s="8"/>
      <c r="C332" s="8"/>
      <c r="D332" s="8"/>
      <c r="E332" s="8"/>
      <c r="F332" s="8"/>
    </row>
    <row r="333" ht="37.5" customHeight="1">
      <c r="A333" s="8"/>
      <c r="B333" s="8"/>
      <c r="C333" s="8"/>
      <c r="D333" s="8"/>
      <c r="E333" s="8"/>
      <c r="F333" s="8"/>
    </row>
    <row r="334" ht="37.5" customHeight="1">
      <c r="A334" s="8"/>
      <c r="B334" s="8"/>
      <c r="C334" s="8"/>
      <c r="D334" s="8"/>
      <c r="E334" s="8"/>
      <c r="F334" s="8"/>
    </row>
    <row r="335" ht="37.5" customHeight="1">
      <c r="A335" s="8"/>
      <c r="B335" s="8"/>
      <c r="C335" s="8"/>
      <c r="D335" s="8"/>
      <c r="E335" s="8"/>
      <c r="F335" s="8"/>
    </row>
    <row r="336" ht="37.5" customHeight="1">
      <c r="A336" s="8"/>
      <c r="B336" s="8"/>
      <c r="C336" s="8"/>
      <c r="D336" s="8"/>
      <c r="E336" s="8"/>
      <c r="F336" s="8"/>
    </row>
    <row r="337" ht="37.5" customHeight="1">
      <c r="A337" s="8"/>
      <c r="B337" s="8"/>
      <c r="C337" s="8"/>
      <c r="D337" s="8"/>
      <c r="E337" s="8"/>
      <c r="F337" s="8"/>
    </row>
    <row r="338" ht="37.5" customHeight="1">
      <c r="A338" s="8"/>
      <c r="B338" s="8"/>
      <c r="C338" s="8"/>
      <c r="D338" s="8"/>
      <c r="E338" s="8"/>
      <c r="F338" s="8"/>
    </row>
    <row r="339" ht="37.5" customHeight="1">
      <c r="A339" s="8"/>
      <c r="B339" s="8"/>
      <c r="C339" s="8"/>
      <c r="D339" s="8"/>
      <c r="E339" s="8"/>
      <c r="F339" s="8"/>
    </row>
    <row r="340" ht="37.5" customHeight="1">
      <c r="A340" s="8"/>
      <c r="B340" s="8"/>
      <c r="C340" s="8"/>
      <c r="D340" s="8"/>
      <c r="E340" s="8"/>
      <c r="F340" s="8"/>
    </row>
    <row r="341" ht="37.5" customHeight="1">
      <c r="A341" s="8"/>
      <c r="B341" s="8"/>
      <c r="C341" s="8"/>
      <c r="D341" s="8"/>
      <c r="E341" s="8"/>
      <c r="F341" s="8"/>
    </row>
    <row r="342" ht="37.5" customHeight="1">
      <c r="A342" s="8"/>
      <c r="B342" s="8"/>
      <c r="C342" s="8"/>
      <c r="D342" s="8"/>
      <c r="E342" s="8"/>
      <c r="F342" s="8"/>
    </row>
    <row r="343" ht="37.5" customHeight="1">
      <c r="A343" s="8"/>
      <c r="B343" s="8"/>
      <c r="C343" s="8"/>
      <c r="D343" s="8"/>
      <c r="E343" s="8"/>
      <c r="F343" s="8"/>
    </row>
    <row r="344" ht="37.5" customHeight="1">
      <c r="A344" s="8"/>
      <c r="B344" s="8"/>
      <c r="C344" s="8"/>
      <c r="D344" s="8"/>
      <c r="E344" s="8"/>
      <c r="F344" s="8"/>
    </row>
    <row r="345" ht="37.5" customHeight="1">
      <c r="A345" s="8"/>
      <c r="B345" s="8"/>
      <c r="C345" s="8"/>
      <c r="D345" s="8"/>
      <c r="E345" s="8"/>
      <c r="F345" s="8"/>
    </row>
    <row r="346" ht="37.5" customHeight="1">
      <c r="A346" s="8"/>
      <c r="B346" s="8"/>
      <c r="C346" s="8"/>
      <c r="D346" s="8"/>
      <c r="E346" s="8"/>
      <c r="F346" s="8"/>
    </row>
    <row r="347" ht="37.5" customHeight="1">
      <c r="A347" s="8"/>
      <c r="B347" s="8"/>
      <c r="C347" s="8"/>
      <c r="D347" s="8"/>
      <c r="E347" s="8"/>
      <c r="F347" s="8"/>
    </row>
    <row r="348" ht="37.5" customHeight="1">
      <c r="A348" s="8"/>
      <c r="B348" s="8"/>
      <c r="C348" s="8"/>
      <c r="D348" s="8"/>
      <c r="E348" s="8"/>
      <c r="F348" s="8"/>
    </row>
    <row r="349" ht="37.5" customHeight="1">
      <c r="A349" s="8"/>
      <c r="B349" s="8"/>
      <c r="C349" s="8"/>
      <c r="D349" s="8"/>
      <c r="E349" s="8"/>
      <c r="F349" s="8"/>
    </row>
    <row r="350" ht="37.5" customHeight="1">
      <c r="A350" s="8"/>
      <c r="B350" s="8"/>
      <c r="C350" s="8"/>
      <c r="D350" s="8"/>
      <c r="E350" s="8"/>
      <c r="F350" s="8"/>
    </row>
    <row r="351" ht="37.5" customHeight="1">
      <c r="A351" s="8"/>
      <c r="B351" s="8"/>
      <c r="C351" s="8"/>
      <c r="D351" s="8"/>
      <c r="E351" s="8"/>
      <c r="F351" s="8"/>
    </row>
    <row r="352" ht="37.5" customHeight="1">
      <c r="A352" s="8"/>
      <c r="B352" s="8"/>
      <c r="C352" s="8"/>
      <c r="D352" s="8"/>
      <c r="E352" s="8"/>
      <c r="F352" s="8"/>
    </row>
    <row r="353" ht="37.5" customHeight="1">
      <c r="A353" s="8"/>
      <c r="B353" s="8"/>
      <c r="C353" s="8"/>
      <c r="D353" s="8"/>
      <c r="E353" s="8"/>
      <c r="F353" s="8"/>
    </row>
    <row r="354" ht="37.5" customHeight="1">
      <c r="A354" s="8"/>
      <c r="B354" s="8"/>
      <c r="C354" s="8"/>
      <c r="D354" s="8"/>
      <c r="E354" s="8"/>
      <c r="F354" s="8"/>
    </row>
    <row r="355" ht="37.5" customHeight="1">
      <c r="A355" s="8"/>
      <c r="B355" s="8"/>
      <c r="C355" s="8"/>
      <c r="D355" s="8"/>
      <c r="E355" s="8"/>
      <c r="F355" s="8"/>
    </row>
    <row r="356" ht="37.5" customHeight="1">
      <c r="A356" s="8"/>
      <c r="B356" s="8"/>
      <c r="C356" s="8"/>
      <c r="D356" s="8"/>
      <c r="E356" s="8"/>
      <c r="F356" s="8"/>
    </row>
    <row r="357" ht="37.5" customHeight="1">
      <c r="A357" s="8"/>
      <c r="B357" s="8"/>
      <c r="C357" s="8"/>
      <c r="D357" s="8"/>
      <c r="E357" s="8"/>
      <c r="F357" s="8"/>
    </row>
    <row r="358" ht="37.5" customHeight="1">
      <c r="A358" s="8"/>
      <c r="B358" s="8"/>
      <c r="C358" s="8"/>
      <c r="D358" s="8"/>
      <c r="E358" s="8"/>
      <c r="F358" s="8"/>
    </row>
    <row r="359" ht="37.5" customHeight="1">
      <c r="A359" s="8"/>
      <c r="B359" s="8"/>
      <c r="C359" s="8"/>
      <c r="D359" s="8"/>
      <c r="E359" s="8"/>
      <c r="F359" s="8"/>
    </row>
    <row r="360" ht="37.5" customHeight="1">
      <c r="A360" s="8"/>
      <c r="B360" s="8"/>
      <c r="C360" s="8"/>
      <c r="D360" s="8"/>
      <c r="E360" s="8"/>
      <c r="F360" s="8"/>
    </row>
    <row r="361" ht="37.5" customHeight="1">
      <c r="A361" s="8"/>
      <c r="B361" s="8"/>
      <c r="C361" s="8"/>
      <c r="D361" s="8"/>
      <c r="E361" s="8"/>
      <c r="F361" s="8"/>
    </row>
    <row r="362" ht="37.5" customHeight="1">
      <c r="A362" s="8"/>
      <c r="B362" s="8"/>
      <c r="C362" s="8"/>
      <c r="D362" s="8"/>
      <c r="E362" s="8"/>
      <c r="F362" s="8"/>
    </row>
    <row r="363" ht="37.5" customHeight="1">
      <c r="A363" s="8"/>
      <c r="B363" s="8"/>
      <c r="C363" s="8"/>
      <c r="D363" s="8"/>
      <c r="E363" s="8"/>
      <c r="F363" s="8"/>
    </row>
    <row r="364" ht="37.5" customHeight="1">
      <c r="A364" s="8"/>
      <c r="B364" s="8"/>
      <c r="C364" s="8"/>
      <c r="D364" s="8"/>
      <c r="E364" s="8"/>
      <c r="F364" s="8"/>
    </row>
    <row r="365" ht="37.5" customHeight="1">
      <c r="A365" s="8"/>
      <c r="B365" s="8"/>
      <c r="C365" s="8"/>
      <c r="D365" s="8"/>
      <c r="E365" s="8"/>
      <c r="F365" s="8"/>
    </row>
    <row r="366" ht="37.5" customHeight="1">
      <c r="A366" s="8"/>
      <c r="B366" s="8"/>
      <c r="C366" s="8"/>
      <c r="D366" s="8"/>
      <c r="E366" s="8"/>
      <c r="F366" s="8"/>
    </row>
    <row r="367" ht="37.5" customHeight="1">
      <c r="A367" s="8"/>
      <c r="B367" s="8"/>
      <c r="C367" s="8"/>
      <c r="D367" s="8"/>
      <c r="E367" s="8"/>
      <c r="F367" s="8"/>
    </row>
    <row r="368" ht="37.5" customHeight="1">
      <c r="A368" s="8"/>
      <c r="B368" s="8"/>
      <c r="C368" s="8"/>
      <c r="D368" s="8"/>
      <c r="E368" s="8"/>
      <c r="F368" s="8"/>
    </row>
    <row r="369" ht="37.5" customHeight="1">
      <c r="A369" s="8"/>
      <c r="B369" s="8"/>
      <c r="C369" s="8"/>
      <c r="D369" s="8"/>
      <c r="E369" s="8"/>
      <c r="F369" s="8"/>
    </row>
    <row r="370" ht="37.5" customHeight="1">
      <c r="A370" s="8"/>
      <c r="B370" s="8"/>
      <c r="C370" s="8"/>
      <c r="D370" s="8"/>
      <c r="E370" s="8"/>
      <c r="F370" s="8"/>
    </row>
    <row r="371" ht="37.5" customHeight="1">
      <c r="A371" s="8"/>
      <c r="B371" s="8"/>
      <c r="C371" s="8"/>
      <c r="D371" s="8"/>
      <c r="E371" s="8"/>
      <c r="F371" s="8"/>
    </row>
    <row r="372" ht="37.5" customHeight="1">
      <c r="A372" s="8"/>
      <c r="B372" s="8"/>
      <c r="C372" s="8"/>
      <c r="D372" s="8"/>
      <c r="E372" s="8"/>
      <c r="F372" s="8"/>
    </row>
    <row r="373" ht="37.5" customHeight="1">
      <c r="A373" s="8"/>
      <c r="B373" s="8"/>
      <c r="C373" s="8"/>
      <c r="D373" s="8"/>
      <c r="E373" s="8"/>
      <c r="F373" s="8"/>
    </row>
    <row r="374" ht="37.5" customHeight="1">
      <c r="A374" s="8"/>
      <c r="B374" s="8"/>
      <c r="C374" s="8"/>
      <c r="D374" s="8"/>
      <c r="E374" s="8"/>
      <c r="F374" s="8"/>
    </row>
    <row r="375" ht="37.5" customHeight="1">
      <c r="A375" s="8"/>
      <c r="B375" s="8"/>
      <c r="C375" s="8"/>
      <c r="D375" s="8"/>
      <c r="E375" s="8"/>
      <c r="F375" s="8"/>
    </row>
    <row r="376" ht="37.5" customHeight="1">
      <c r="A376" s="8"/>
      <c r="B376" s="8"/>
      <c r="C376" s="8"/>
      <c r="D376" s="8"/>
      <c r="E376" s="8"/>
      <c r="F376" s="8"/>
    </row>
    <row r="377" ht="37.5" customHeight="1">
      <c r="A377" s="8"/>
      <c r="B377" s="8"/>
      <c r="C377" s="8"/>
      <c r="D377" s="8"/>
      <c r="E377" s="8"/>
      <c r="F377" s="8"/>
    </row>
    <row r="378" ht="37.5" customHeight="1">
      <c r="A378" s="8"/>
      <c r="B378" s="8"/>
      <c r="C378" s="8"/>
      <c r="D378" s="8"/>
      <c r="E378" s="8"/>
      <c r="F378" s="8"/>
    </row>
    <row r="379" ht="37.5" customHeight="1">
      <c r="A379" s="8"/>
      <c r="B379" s="8"/>
      <c r="C379" s="8"/>
      <c r="D379" s="8"/>
      <c r="E379" s="8"/>
      <c r="F379" s="8"/>
    </row>
    <row r="380" ht="37.5" customHeight="1">
      <c r="A380" s="8"/>
      <c r="B380" s="8"/>
      <c r="C380" s="8"/>
      <c r="D380" s="8"/>
      <c r="E380" s="8"/>
      <c r="F380" s="8"/>
    </row>
    <row r="381" ht="37.5" customHeight="1">
      <c r="A381" s="8"/>
      <c r="B381" s="8"/>
      <c r="C381" s="8"/>
      <c r="D381" s="8"/>
      <c r="E381" s="8"/>
      <c r="F381" s="8"/>
    </row>
    <row r="382" ht="37.5" customHeight="1">
      <c r="A382" s="8"/>
      <c r="B382" s="8"/>
      <c r="C382" s="8"/>
      <c r="D382" s="8"/>
      <c r="E382" s="8"/>
      <c r="F382" s="8"/>
    </row>
    <row r="383" ht="37.5" customHeight="1">
      <c r="A383" s="8"/>
      <c r="B383" s="8"/>
      <c r="C383" s="8"/>
      <c r="D383" s="8"/>
      <c r="E383" s="8"/>
      <c r="F383" s="8"/>
    </row>
    <row r="384" ht="37.5" customHeight="1">
      <c r="A384" s="8"/>
      <c r="B384" s="8"/>
      <c r="C384" s="8"/>
      <c r="D384" s="8"/>
      <c r="E384" s="8"/>
      <c r="F384" s="8"/>
    </row>
    <row r="385" ht="37.5" customHeight="1">
      <c r="A385" s="8"/>
      <c r="B385" s="8"/>
      <c r="C385" s="8"/>
      <c r="D385" s="8"/>
      <c r="E385" s="8"/>
      <c r="F385" s="8"/>
    </row>
    <row r="386" ht="37.5" customHeight="1">
      <c r="A386" s="8"/>
      <c r="B386" s="8"/>
      <c r="C386" s="8"/>
      <c r="D386" s="8"/>
      <c r="E386" s="8"/>
      <c r="F386" s="8"/>
    </row>
    <row r="387" ht="37.5" customHeight="1">
      <c r="A387" s="8"/>
      <c r="B387" s="8"/>
      <c r="C387" s="8"/>
      <c r="D387" s="8"/>
      <c r="E387" s="8"/>
      <c r="F387" s="8"/>
    </row>
    <row r="388" ht="37.5" customHeight="1">
      <c r="A388" s="8"/>
      <c r="B388" s="8"/>
      <c r="C388" s="8"/>
      <c r="D388" s="8"/>
      <c r="E388" s="8"/>
      <c r="F388" s="8"/>
    </row>
    <row r="389" ht="37.5" customHeight="1">
      <c r="A389" s="8"/>
      <c r="B389" s="8"/>
      <c r="C389" s="8"/>
      <c r="D389" s="8"/>
      <c r="E389" s="8"/>
      <c r="F389" s="8"/>
    </row>
    <row r="390" ht="37.5" customHeight="1">
      <c r="A390" s="8"/>
      <c r="B390" s="8"/>
      <c r="C390" s="8"/>
      <c r="D390" s="8"/>
      <c r="E390" s="8"/>
      <c r="F390" s="8"/>
    </row>
    <row r="391" ht="37.5" customHeight="1">
      <c r="A391" s="8"/>
      <c r="B391" s="8"/>
      <c r="C391" s="8"/>
      <c r="D391" s="8"/>
      <c r="E391" s="8"/>
      <c r="F391" s="8"/>
    </row>
    <row r="392" ht="37.5" customHeight="1">
      <c r="A392" s="8"/>
      <c r="B392" s="8"/>
      <c r="C392" s="8"/>
      <c r="D392" s="8"/>
      <c r="E392" s="8"/>
      <c r="F392" s="8"/>
    </row>
    <row r="393" ht="37.5" customHeight="1">
      <c r="A393" s="8"/>
      <c r="B393" s="8"/>
      <c r="C393" s="8"/>
      <c r="D393" s="8"/>
      <c r="E393" s="8"/>
      <c r="F393" s="8"/>
    </row>
    <row r="394" ht="37.5" customHeight="1">
      <c r="A394" s="8"/>
      <c r="B394" s="8"/>
      <c r="C394" s="8"/>
      <c r="D394" s="8"/>
      <c r="E394" s="8"/>
      <c r="F394" s="8"/>
    </row>
    <row r="395" ht="37.5" customHeight="1">
      <c r="A395" s="8"/>
      <c r="B395" s="8"/>
      <c r="C395" s="8"/>
      <c r="D395" s="8"/>
      <c r="E395" s="8"/>
      <c r="F395" s="8"/>
    </row>
    <row r="396" ht="37.5" customHeight="1">
      <c r="A396" s="8"/>
      <c r="B396" s="8"/>
      <c r="C396" s="8"/>
      <c r="D396" s="8"/>
      <c r="E396" s="8"/>
      <c r="F396" s="8"/>
    </row>
    <row r="397" ht="37.5" customHeight="1">
      <c r="A397" s="8"/>
      <c r="B397" s="8"/>
      <c r="C397" s="8"/>
      <c r="D397" s="8"/>
      <c r="E397" s="8"/>
      <c r="F397" s="8"/>
    </row>
    <row r="398" ht="37.5" customHeight="1">
      <c r="A398" s="8"/>
      <c r="B398" s="8"/>
      <c r="C398" s="8"/>
      <c r="D398" s="8"/>
      <c r="E398" s="8"/>
      <c r="F398" s="8"/>
    </row>
    <row r="399" ht="37.5" customHeight="1">
      <c r="A399" s="8"/>
      <c r="B399" s="8"/>
      <c r="C399" s="8"/>
      <c r="D399" s="8"/>
      <c r="E399" s="8"/>
      <c r="F399" s="8"/>
    </row>
    <row r="400" ht="37.5" customHeight="1">
      <c r="A400" s="8"/>
      <c r="B400" s="8"/>
      <c r="C400" s="8"/>
      <c r="D400" s="8"/>
      <c r="E400" s="8"/>
      <c r="F400" s="8"/>
    </row>
    <row r="401" ht="37.5" customHeight="1">
      <c r="A401" s="8"/>
      <c r="B401" s="8"/>
      <c r="C401" s="8"/>
      <c r="D401" s="8"/>
      <c r="E401" s="8"/>
      <c r="F401" s="8"/>
    </row>
    <row r="402" ht="37.5" customHeight="1">
      <c r="A402" s="8"/>
      <c r="B402" s="8"/>
      <c r="C402" s="8"/>
      <c r="D402" s="8"/>
      <c r="E402" s="8"/>
      <c r="F402" s="8"/>
    </row>
    <row r="403" ht="37.5" customHeight="1">
      <c r="A403" s="8"/>
      <c r="B403" s="8"/>
      <c r="C403" s="8"/>
      <c r="D403" s="8"/>
      <c r="E403" s="8"/>
      <c r="F403" s="8"/>
    </row>
    <row r="404" ht="37.5" customHeight="1">
      <c r="A404" s="8"/>
      <c r="B404" s="8"/>
      <c r="C404" s="8"/>
      <c r="D404" s="8"/>
      <c r="E404" s="8"/>
      <c r="F404" s="8"/>
    </row>
    <row r="405" ht="37.5" customHeight="1">
      <c r="A405" s="8"/>
      <c r="B405" s="8"/>
      <c r="C405" s="8"/>
      <c r="D405" s="8"/>
      <c r="E405" s="8"/>
      <c r="F405" s="8"/>
    </row>
    <row r="406" ht="37.5" customHeight="1">
      <c r="A406" s="8"/>
      <c r="B406" s="8"/>
      <c r="C406" s="8"/>
      <c r="D406" s="8"/>
      <c r="E406" s="8"/>
      <c r="F406" s="8"/>
    </row>
    <row r="407" ht="37.5" customHeight="1">
      <c r="A407" s="8"/>
      <c r="B407" s="8"/>
      <c r="C407" s="8"/>
      <c r="D407" s="8"/>
      <c r="E407" s="8"/>
      <c r="F407" s="8"/>
    </row>
    <row r="408" ht="37.5" customHeight="1">
      <c r="A408" s="8"/>
      <c r="B408" s="8"/>
      <c r="C408" s="8"/>
      <c r="D408" s="8"/>
      <c r="E408" s="8"/>
      <c r="F408" s="8"/>
    </row>
    <row r="409" ht="37.5" customHeight="1">
      <c r="A409" s="8"/>
      <c r="B409" s="8"/>
      <c r="C409" s="8"/>
      <c r="D409" s="8"/>
      <c r="E409" s="8"/>
      <c r="F409" s="8"/>
    </row>
    <row r="410" ht="37.5" customHeight="1">
      <c r="A410" s="8"/>
      <c r="B410" s="8"/>
      <c r="C410" s="8"/>
      <c r="D410" s="8"/>
      <c r="E410" s="8"/>
      <c r="F410" s="8"/>
    </row>
    <row r="411" ht="37.5" customHeight="1">
      <c r="A411" s="8"/>
      <c r="B411" s="8"/>
      <c r="C411" s="8"/>
      <c r="D411" s="8"/>
      <c r="E411" s="8"/>
      <c r="F411" s="8"/>
    </row>
    <row r="412" ht="37.5" customHeight="1">
      <c r="A412" s="8"/>
      <c r="B412" s="8"/>
      <c r="C412" s="8"/>
      <c r="D412" s="8"/>
      <c r="E412" s="8"/>
      <c r="F412" s="8"/>
    </row>
    <row r="413" ht="37.5" customHeight="1">
      <c r="A413" s="8"/>
      <c r="B413" s="8"/>
      <c r="C413" s="8"/>
      <c r="D413" s="8"/>
      <c r="E413" s="8"/>
      <c r="F413" s="8"/>
    </row>
    <row r="414" ht="37.5" customHeight="1">
      <c r="A414" s="8"/>
      <c r="B414" s="8"/>
      <c r="C414" s="8"/>
      <c r="D414" s="8"/>
      <c r="E414" s="8"/>
      <c r="F414" s="8"/>
    </row>
    <row r="415" ht="37.5" customHeight="1">
      <c r="A415" s="8"/>
      <c r="B415" s="8"/>
      <c r="C415" s="8"/>
      <c r="D415" s="8"/>
      <c r="E415" s="8"/>
      <c r="F415" s="8"/>
    </row>
    <row r="416" ht="37.5" customHeight="1">
      <c r="A416" s="8"/>
      <c r="B416" s="8"/>
      <c r="C416" s="8"/>
      <c r="D416" s="8"/>
      <c r="E416" s="8"/>
      <c r="F416" s="8"/>
    </row>
    <row r="417" ht="37.5" customHeight="1">
      <c r="A417" s="8"/>
      <c r="B417" s="8"/>
      <c r="C417" s="8"/>
      <c r="D417" s="8"/>
      <c r="E417" s="8"/>
      <c r="F417" s="8"/>
    </row>
    <row r="418" ht="37.5" customHeight="1">
      <c r="A418" s="8"/>
      <c r="B418" s="8"/>
      <c r="C418" s="8"/>
      <c r="D418" s="8"/>
      <c r="E418" s="8"/>
      <c r="F418" s="8"/>
    </row>
    <row r="419" ht="37.5" customHeight="1">
      <c r="A419" s="8"/>
      <c r="B419" s="8"/>
      <c r="C419" s="8"/>
      <c r="D419" s="8"/>
      <c r="E419" s="8"/>
      <c r="F419" s="8"/>
    </row>
    <row r="420" ht="37.5" customHeight="1">
      <c r="A420" s="8"/>
      <c r="B420" s="8"/>
      <c r="C420" s="8"/>
      <c r="D420" s="8"/>
      <c r="E420" s="8"/>
      <c r="F420" s="8"/>
    </row>
    <row r="421" ht="37.5" customHeight="1">
      <c r="A421" s="8"/>
      <c r="B421" s="8"/>
      <c r="C421" s="8"/>
      <c r="D421" s="8"/>
      <c r="E421" s="8"/>
      <c r="F421" s="8"/>
    </row>
    <row r="422" ht="37.5" customHeight="1">
      <c r="A422" s="8"/>
      <c r="B422" s="8"/>
      <c r="C422" s="8"/>
      <c r="D422" s="8"/>
      <c r="E422" s="8"/>
      <c r="F422" s="8"/>
    </row>
    <row r="423" ht="37.5" customHeight="1">
      <c r="A423" s="8"/>
      <c r="B423" s="8"/>
      <c r="C423" s="8"/>
      <c r="D423" s="8"/>
      <c r="E423" s="8"/>
      <c r="F423" s="8"/>
    </row>
    <row r="424" ht="37.5" customHeight="1">
      <c r="A424" s="8"/>
      <c r="B424" s="8"/>
      <c r="C424" s="8"/>
      <c r="D424" s="8"/>
      <c r="E424" s="8"/>
      <c r="F424" s="8"/>
    </row>
    <row r="425" ht="37.5" customHeight="1">
      <c r="A425" s="8"/>
      <c r="B425" s="8"/>
      <c r="C425" s="8"/>
      <c r="D425" s="8"/>
      <c r="E425" s="8"/>
      <c r="F425" s="8"/>
    </row>
    <row r="426" ht="37.5" customHeight="1">
      <c r="A426" s="8"/>
      <c r="B426" s="8"/>
      <c r="C426" s="8"/>
      <c r="D426" s="8"/>
      <c r="E426" s="8"/>
      <c r="F426" s="8"/>
    </row>
    <row r="427" ht="37.5" customHeight="1">
      <c r="A427" s="8"/>
      <c r="B427" s="8"/>
      <c r="C427" s="8"/>
      <c r="D427" s="8"/>
      <c r="E427" s="8"/>
      <c r="F427" s="8"/>
    </row>
    <row r="428" ht="37.5" customHeight="1">
      <c r="A428" s="8"/>
      <c r="B428" s="8"/>
      <c r="C428" s="8"/>
      <c r="D428" s="8"/>
      <c r="E428" s="8"/>
      <c r="F428" s="8"/>
    </row>
    <row r="429" ht="37.5" customHeight="1">
      <c r="A429" s="8"/>
      <c r="B429" s="8"/>
      <c r="C429" s="8"/>
      <c r="D429" s="8"/>
      <c r="E429" s="8"/>
      <c r="F429" s="8"/>
    </row>
    <row r="430" ht="37.5" customHeight="1">
      <c r="A430" s="8"/>
      <c r="B430" s="8"/>
      <c r="C430" s="8"/>
      <c r="D430" s="8"/>
      <c r="E430" s="8"/>
      <c r="F430" s="8"/>
    </row>
    <row r="431" ht="37.5" customHeight="1">
      <c r="A431" s="8"/>
      <c r="B431" s="8"/>
      <c r="C431" s="8"/>
      <c r="D431" s="8"/>
      <c r="E431" s="8"/>
      <c r="F431" s="8"/>
    </row>
    <row r="432" ht="37.5" customHeight="1">
      <c r="A432" s="8"/>
      <c r="B432" s="8"/>
      <c r="C432" s="8"/>
      <c r="D432" s="8"/>
      <c r="E432" s="8"/>
      <c r="F432" s="8"/>
    </row>
    <row r="433" ht="37.5" customHeight="1">
      <c r="A433" s="8"/>
      <c r="B433" s="8"/>
      <c r="C433" s="8"/>
      <c r="D433" s="8"/>
      <c r="E433" s="8"/>
      <c r="F433" s="8"/>
    </row>
    <row r="434" ht="37.5" customHeight="1">
      <c r="A434" s="8"/>
      <c r="B434" s="8"/>
      <c r="C434" s="8"/>
      <c r="D434" s="8"/>
      <c r="E434" s="8"/>
      <c r="F434" s="8"/>
    </row>
    <row r="435" ht="37.5" customHeight="1">
      <c r="A435" s="8"/>
      <c r="B435" s="8"/>
      <c r="C435" s="8"/>
      <c r="D435" s="8"/>
      <c r="E435" s="8"/>
      <c r="F435" s="8"/>
    </row>
    <row r="436" ht="37.5" customHeight="1">
      <c r="A436" s="8"/>
      <c r="B436" s="8"/>
      <c r="C436" s="8"/>
      <c r="D436" s="8"/>
      <c r="E436" s="8"/>
      <c r="F436" s="8"/>
    </row>
    <row r="437" ht="37.5" customHeight="1">
      <c r="A437" s="8"/>
      <c r="B437" s="8"/>
      <c r="C437" s="8"/>
      <c r="D437" s="8"/>
      <c r="E437" s="8"/>
      <c r="F437" s="8"/>
    </row>
    <row r="438" ht="37.5" customHeight="1">
      <c r="A438" s="8"/>
      <c r="B438" s="8"/>
      <c r="C438" s="8"/>
      <c r="D438" s="8"/>
      <c r="E438" s="8"/>
      <c r="F438" s="8"/>
    </row>
    <row r="439" ht="37.5" customHeight="1">
      <c r="A439" s="8"/>
      <c r="B439" s="8"/>
      <c r="C439" s="8"/>
      <c r="D439" s="8"/>
      <c r="E439" s="8"/>
      <c r="F439" s="8"/>
    </row>
    <row r="440" ht="37.5" customHeight="1">
      <c r="A440" s="8"/>
      <c r="B440" s="8"/>
      <c r="C440" s="8"/>
      <c r="D440" s="8"/>
      <c r="E440" s="8"/>
      <c r="F440" s="8"/>
    </row>
    <row r="441" ht="37.5" customHeight="1">
      <c r="A441" s="8"/>
      <c r="B441" s="8"/>
      <c r="C441" s="8"/>
      <c r="D441" s="8"/>
      <c r="E441" s="8"/>
      <c r="F441" s="8"/>
    </row>
    <row r="442" ht="37.5" customHeight="1">
      <c r="A442" s="8"/>
      <c r="B442" s="8"/>
      <c r="C442" s="8"/>
      <c r="D442" s="8"/>
      <c r="E442" s="8"/>
      <c r="F442" s="8"/>
    </row>
    <row r="443" ht="37.5" customHeight="1">
      <c r="A443" s="8"/>
      <c r="B443" s="8"/>
      <c r="C443" s="8"/>
      <c r="D443" s="8"/>
      <c r="E443" s="8"/>
      <c r="F443" s="8"/>
    </row>
    <row r="444" ht="37.5" customHeight="1">
      <c r="A444" s="8"/>
      <c r="B444" s="8"/>
      <c r="C444" s="8"/>
      <c r="D444" s="8"/>
      <c r="E444" s="8"/>
      <c r="F444" s="8"/>
    </row>
    <row r="445" ht="37.5" customHeight="1">
      <c r="A445" s="8"/>
      <c r="B445" s="8"/>
      <c r="C445" s="8"/>
      <c r="D445" s="8"/>
      <c r="E445" s="8"/>
      <c r="F445" s="8"/>
    </row>
    <row r="446" ht="37.5" customHeight="1">
      <c r="A446" s="8"/>
      <c r="B446" s="8"/>
      <c r="C446" s="8"/>
      <c r="D446" s="8"/>
      <c r="E446" s="8"/>
      <c r="F446" s="8"/>
    </row>
    <row r="447" ht="37.5" customHeight="1">
      <c r="A447" s="8"/>
      <c r="B447" s="8"/>
      <c r="C447" s="8"/>
      <c r="D447" s="8"/>
      <c r="E447" s="8"/>
      <c r="F447" s="8"/>
    </row>
    <row r="448" ht="37.5" customHeight="1">
      <c r="A448" s="8"/>
      <c r="B448" s="8"/>
      <c r="C448" s="8"/>
      <c r="D448" s="8"/>
      <c r="E448" s="8"/>
      <c r="F448" s="8"/>
    </row>
    <row r="449" ht="37.5" customHeight="1">
      <c r="A449" s="8"/>
      <c r="B449" s="8"/>
      <c r="C449" s="8"/>
      <c r="D449" s="8"/>
      <c r="E449" s="8"/>
      <c r="F449" s="8"/>
    </row>
    <row r="450" ht="37.5" customHeight="1">
      <c r="A450" s="8"/>
      <c r="B450" s="8"/>
      <c r="C450" s="8"/>
      <c r="D450" s="8"/>
      <c r="E450" s="8"/>
      <c r="F450" s="8"/>
    </row>
    <row r="451" ht="37.5" customHeight="1">
      <c r="A451" s="8"/>
      <c r="B451" s="8"/>
      <c r="C451" s="8"/>
      <c r="D451" s="8"/>
      <c r="E451" s="8"/>
      <c r="F451" s="8"/>
    </row>
    <row r="452" ht="37.5" customHeight="1">
      <c r="A452" s="8"/>
      <c r="B452" s="8"/>
      <c r="C452" s="8"/>
      <c r="D452" s="8"/>
      <c r="E452" s="8"/>
      <c r="F452" s="8"/>
    </row>
    <row r="453" ht="37.5" customHeight="1">
      <c r="A453" s="8"/>
      <c r="B453" s="8"/>
      <c r="C453" s="8"/>
      <c r="D453" s="8"/>
      <c r="E453" s="8"/>
      <c r="F453" s="8"/>
    </row>
    <row r="454" ht="37.5" customHeight="1">
      <c r="A454" s="8"/>
      <c r="B454" s="8"/>
      <c r="C454" s="8"/>
      <c r="D454" s="8"/>
      <c r="E454" s="8"/>
      <c r="F454" s="8"/>
    </row>
    <row r="455" ht="37.5" customHeight="1">
      <c r="A455" s="8"/>
      <c r="B455" s="8"/>
      <c r="C455" s="8"/>
      <c r="D455" s="8"/>
      <c r="E455" s="8"/>
      <c r="F455" s="8"/>
    </row>
    <row r="456" ht="37.5" customHeight="1">
      <c r="A456" s="8"/>
      <c r="B456" s="8"/>
      <c r="C456" s="8"/>
      <c r="D456" s="8"/>
      <c r="E456" s="8"/>
      <c r="F456" s="8"/>
    </row>
    <row r="457" ht="37.5" customHeight="1">
      <c r="A457" s="8"/>
      <c r="B457" s="8"/>
      <c r="C457" s="8"/>
      <c r="D457" s="8"/>
      <c r="E457" s="8"/>
      <c r="F457" s="8"/>
    </row>
    <row r="458" ht="37.5" customHeight="1">
      <c r="A458" s="8"/>
      <c r="B458" s="8"/>
      <c r="C458" s="8"/>
      <c r="D458" s="8"/>
      <c r="E458" s="8"/>
      <c r="F458" s="8"/>
    </row>
    <row r="459" ht="37.5" customHeight="1">
      <c r="A459" s="8"/>
      <c r="B459" s="8"/>
      <c r="C459" s="8"/>
      <c r="D459" s="8"/>
      <c r="E459" s="8"/>
      <c r="F459" s="8"/>
    </row>
    <row r="460" ht="37.5" customHeight="1">
      <c r="A460" s="8"/>
      <c r="B460" s="8"/>
      <c r="C460" s="8"/>
      <c r="D460" s="8"/>
      <c r="E460" s="8"/>
      <c r="F460" s="8"/>
    </row>
    <row r="461" ht="37.5" customHeight="1">
      <c r="A461" s="8"/>
      <c r="B461" s="8"/>
      <c r="C461" s="8"/>
      <c r="D461" s="8"/>
      <c r="E461" s="8"/>
      <c r="F461" s="8"/>
    </row>
    <row r="462" ht="37.5" customHeight="1">
      <c r="A462" s="8"/>
      <c r="B462" s="8"/>
      <c r="C462" s="8"/>
      <c r="D462" s="8"/>
      <c r="E462" s="8"/>
      <c r="F462" s="8"/>
    </row>
    <row r="463" ht="37.5" customHeight="1">
      <c r="A463" s="8"/>
      <c r="B463" s="8"/>
      <c r="C463" s="8"/>
      <c r="D463" s="8"/>
      <c r="E463" s="8"/>
      <c r="F463" s="8"/>
    </row>
    <row r="464" ht="37.5" customHeight="1">
      <c r="A464" s="8"/>
      <c r="B464" s="8"/>
      <c r="C464" s="8"/>
      <c r="D464" s="8"/>
      <c r="E464" s="8"/>
      <c r="F464" s="8"/>
    </row>
    <row r="465" ht="37.5" customHeight="1">
      <c r="A465" s="8"/>
      <c r="B465" s="8"/>
      <c r="C465" s="8"/>
      <c r="D465" s="8"/>
      <c r="E465" s="8"/>
      <c r="F465" s="8"/>
    </row>
    <row r="466" ht="37.5" customHeight="1">
      <c r="A466" s="8"/>
      <c r="B466" s="8"/>
      <c r="C466" s="8"/>
      <c r="D466" s="8"/>
      <c r="E466" s="8"/>
      <c r="F466" s="8"/>
    </row>
    <row r="467" ht="37.5" customHeight="1">
      <c r="A467" s="8"/>
      <c r="B467" s="8"/>
      <c r="C467" s="8"/>
      <c r="D467" s="8"/>
      <c r="E467" s="8"/>
      <c r="F467" s="8"/>
    </row>
    <row r="468" ht="37.5" customHeight="1">
      <c r="A468" s="8"/>
      <c r="B468" s="8"/>
      <c r="C468" s="8"/>
      <c r="D468" s="8"/>
      <c r="E468" s="8"/>
      <c r="F468" s="8"/>
    </row>
    <row r="469" ht="37.5" customHeight="1">
      <c r="A469" s="8"/>
      <c r="B469" s="8"/>
      <c r="C469" s="8"/>
      <c r="D469" s="8"/>
      <c r="E469" s="8"/>
      <c r="F469" s="8"/>
    </row>
    <row r="470" ht="37.5" customHeight="1">
      <c r="A470" s="8"/>
      <c r="B470" s="8"/>
      <c r="C470" s="8"/>
      <c r="D470" s="8"/>
      <c r="E470" s="8"/>
      <c r="F470" s="8"/>
    </row>
    <row r="471" ht="37.5" customHeight="1">
      <c r="A471" s="8"/>
      <c r="B471" s="8"/>
      <c r="C471" s="8"/>
      <c r="D471" s="8"/>
      <c r="E471" s="8"/>
      <c r="F471" s="8"/>
    </row>
    <row r="472" ht="37.5" customHeight="1">
      <c r="A472" s="8"/>
      <c r="B472" s="8"/>
      <c r="C472" s="8"/>
      <c r="D472" s="8"/>
      <c r="E472" s="8"/>
      <c r="F472" s="8"/>
    </row>
    <row r="473" ht="37.5" customHeight="1">
      <c r="A473" s="8"/>
      <c r="B473" s="8"/>
      <c r="C473" s="8"/>
      <c r="D473" s="8"/>
      <c r="E473" s="8"/>
      <c r="F473" s="8"/>
    </row>
    <row r="474" ht="37.5" customHeight="1">
      <c r="A474" s="8"/>
      <c r="B474" s="8"/>
      <c r="C474" s="8"/>
      <c r="D474" s="8"/>
      <c r="E474" s="8"/>
      <c r="F474" s="8"/>
    </row>
    <row r="475" ht="37.5" customHeight="1">
      <c r="A475" s="8"/>
      <c r="B475" s="8"/>
      <c r="C475" s="8"/>
      <c r="D475" s="8"/>
      <c r="E475" s="8"/>
      <c r="F475" s="8"/>
    </row>
    <row r="476" ht="37.5" customHeight="1">
      <c r="A476" s="8"/>
      <c r="B476" s="8"/>
      <c r="C476" s="8"/>
      <c r="D476" s="8"/>
      <c r="E476" s="8"/>
      <c r="F476" s="8"/>
    </row>
    <row r="477" ht="37.5" customHeight="1">
      <c r="A477" s="8"/>
      <c r="B477" s="8"/>
      <c r="C477" s="8"/>
      <c r="D477" s="8"/>
      <c r="E477" s="8"/>
      <c r="F477" s="8"/>
    </row>
    <row r="478" ht="37.5" customHeight="1">
      <c r="A478" s="8"/>
      <c r="B478" s="8"/>
      <c r="C478" s="8"/>
      <c r="D478" s="8"/>
      <c r="E478" s="8"/>
      <c r="F478" s="8"/>
    </row>
    <row r="479" ht="37.5" customHeight="1">
      <c r="A479" s="8"/>
      <c r="B479" s="8"/>
      <c r="C479" s="8"/>
      <c r="D479" s="8"/>
      <c r="E479" s="8"/>
      <c r="F479" s="8"/>
    </row>
    <row r="480" ht="37.5" customHeight="1">
      <c r="A480" s="8"/>
      <c r="B480" s="8"/>
      <c r="C480" s="8"/>
      <c r="D480" s="8"/>
      <c r="E480" s="8"/>
      <c r="F480" s="8"/>
    </row>
    <row r="481" ht="37.5" customHeight="1">
      <c r="A481" s="8"/>
      <c r="B481" s="8"/>
      <c r="C481" s="8"/>
      <c r="D481" s="8"/>
      <c r="E481" s="8"/>
      <c r="F481" s="8"/>
    </row>
    <row r="482" ht="37.5" customHeight="1">
      <c r="A482" s="8"/>
      <c r="B482" s="8"/>
      <c r="C482" s="8"/>
      <c r="D482" s="8"/>
      <c r="E482" s="8"/>
      <c r="F482" s="8"/>
    </row>
    <row r="483" ht="37.5" customHeight="1">
      <c r="A483" s="8"/>
      <c r="B483" s="8"/>
      <c r="C483" s="8"/>
      <c r="D483" s="8"/>
      <c r="E483" s="8"/>
      <c r="F483" s="8"/>
    </row>
    <row r="484" ht="37.5" customHeight="1">
      <c r="A484" s="8"/>
      <c r="B484" s="8"/>
      <c r="C484" s="8"/>
      <c r="D484" s="8"/>
      <c r="E484" s="8"/>
      <c r="F484" s="8"/>
    </row>
    <row r="485" ht="37.5" customHeight="1">
      <c r="A485" s="8"/>
      <c r="B485" s="8"/>
      <c r="C485" s="8"/>
      <c r="D485" s="8"/>
      <c r="E485" s="8"/>
      <c r="F485" s="8"/>
    </row>
    <row r="486" ht="37.5" customHeight="1">
      <c r="A486" s="8"/>
      <c r="B486" s="8"/>
      <c r="C486" s="8"/>
      <c r="D486" s="8"/>
      <c r="E486" s="8"/>
      <c r="F486" s="8"/>
    </row>
    <row r="487" ht="37.5" customHeight="1">
      <c r="A487" s="8"/>
      <c r="B487" s="8"/>
      <c r="C487" s="8"/>
      <c r="D487" s="8"/>
      <c r="E487" s="8"/>
      <c r="F487" s="8"/>
    </row>
    <row r="488" ht="37.5" customHeight="1">
      <c r="A488" s="8"/>
      <c r="B488" s="8"/>
      <c r="C488" s="8"/>
      <c r="D488" s="8"/>
      <c r="E488" s="8"/>
      <c r="F488" s="8"/>
    </row>
    <row r="489" ht="37.5" customHeight="1">
      <c r="A489" s="8"/>
      <c r="B489" s="8"/>
      <c r="C489" s="8"/>
      <c r="D489" s="8"/>
      <c r="E489" s="8"/>
      <c r="F489" s="8"/>
    </row>
    <row r="490" ht="37.5" customHeight="1">
      <c r="A490" s="8"/>
      <c r="B490" s="8"/>
      <c r="C490" s="8"/>
      <c r="D490" s="8"/>
      <c r="E490" s="8"/>
      <c r="F490" s="8"/>
    </row>
    <row r="491" ht="37.5" customHeight="1">
      <c r="A491" s="8"/>
      <c r="B491" s="8"/>
      <c r="C491" s="8"/>
      <c r="D491" s="8"/>
      <c r="E491" s="8"/>
      <c r="F491" s="8"/>
    </row>
    <row r="492" ht="37.5" customHeight="1">
      <c r="A492" s="8"/>
      <c r="B492" s="8"/>
      <c r="C492" s="8"/>
      <c r="D492" s="8"/>
      <c r="E492" s="8"/>
      <c r="F492" s="8"/>
    </row>
    <row r="493" ht="37.5" customHeight="1">
      <c r="A493" s="8"/>
      <c r="B493" s="8"/>
      <c r="C493" s="8"/>
      <c r="D493" s="8"/>
      <c r="E493" s="8"/>
      <c r="F493" s="8"/>
    </row>
    <row r="494" ht="37.5" customHeight="1">
      <c r="A494" s="8"/>
      <c r="B494" s="8"/>
      <c r="C494" s="8"/>
      <c r="D494" s="8"/>
      <c r="E494" s="8"/>
      <c r="F494" s="8"/>
    </row>
    <row r="495" ht="37.5" customHeight="1">
      <c r="A495" s="8"/>
      <c r="B495" s="8"/>
      <c r="C495" s="8"/>
      <c r="D495" s="8"/>
      <c r="E495" s="8"/>
      <c r="F495" s="8"/>
    </row>
    <row r="496" ht="37.5" customHeight="1">
      <c r="A496" s="8"/>
      <c r="B496" s="8"/>
      <c r="C496" s="8"/>
      <c r="D496" s="8"/>
      <c r="E496" s="8"/>
      <c r="F496" s="8"/>
    </row>
    <row r="497" ht="37.5" customHeight="1">
      <c r="A497" s="8"/>
      <c r="B497" s="8"/>
      <c r="C497" s="8"/>
      <c r="D497" s="8"/>
      <c r="E497" s="8"/>
      <c r="F497" s="8"/>
    </row>
    <row r="498" ht="37.5" customHeight="1">
      <c r="A498" s="8"/>
      <c r="B498" s="8"/>
      <c r="C498" s="8"/>
      <c r="D498" s="8"/>
      <c r="E498" s="8"/>
      <c r="F498" s="8"/>
    </row>
    <row r="499" ht="37.5" customHeight="1">
      <c r="A499" s="8"/>
      <c r="B499" s="8"/>
      <c r="C499" s="8"/>
      <c r="D499" s="8"/>
      <c r="E499" s="8"/>
      <c r="F499" s="8"/>
    </row>
    <row r="500" ht="37.5" customHeight="1">
      <c r="A500" s="8"/>
      <c r="B500" s="8"/>
      <c r="C500" s="8"/>
      <c r="D500" s="8"/>
      <c r="E500" s="8"/>
      <c r="F500" s="8"/>
    </row>
    <row r="501" ht="37.5" customHeight="1">
      <c r="A501" s="8"/>
      <c r="B501" s="8"/>
      <c r="C501" s="8"/>
      <c r="D501" s="8"/>
      <c r="E501" s="8"/>
      <c r="F501" s="8"/>
    </row>
    <row r="502" ht="37.5" customHeight="1">
      <c r="A502" s="8"/>
      <c r="B502" s="8"/>
      <c r="C502" s="8"/>
      <c r="D502" s="8"/>
      <c r="E502" s="8"/>
      <c r="F502" s="8"/>
    </row>
    <row r="503" ht="37.5" customHeight="1">
      <c r="A503" s="8"/>
      <c r="B503" s="8"/>
      <c r="C503" s="8"/>
      <c r="D503" s="8"/>
      <c r="E503" s="8"/>
      <c r="F503" s="8"/>
    </row>
    <row r="504" ht="37.5" customHeight="1">
      <c r="A504" s="8"/>
      <c r="B504" s="8"/>
      <c r="C504" s="8"/>
      <c r="D504" s="8"/>
      <c r="E504" s="8"/>
      <c r="F504" s="8"/>
    </row>
    <row r="505" ht="37.5" customHeight="1">
      <c r="A505" s="8"/>
      <c r="B505" s="8"/>
      <c r="C505" s="8"/>
      <c r="D505" s="8"/>
      <c r="E505" s="8"/>
      <c r="F505" s="8"/>
    </row>
    <row r="506" ht="37.5" customHeight="1">
      <c r="A506" s="8"/>
      <c r="B506" s="8"/>
      <c r="C506" s="8"/>
      <c r="D506" s="8"/>
      <c r="E506" s="8"/>
      <c r="F506" s="8"/>
    </row>
    <row r="507" ht="37.5" customHeight="1">
      <c r="A507" s="8"/>
      <c r="B507" s="8"/>
      <c r="C507" s="8"/>
      <c r="D507" s="8"/>
      <c r="E507" s="8"/>
      <c r="F507" s="8"/>
    </row>
    <row r="508" ht="37.5" customHeight="1">
      <c r="A508" s="8"/>
      <c r="B508" s="8"/>
      <c r="C508" s="8"/>
      <c r="D508" s="8"/>
      <c r="E508" s="8"/>
      <c r="F508" s="8"/>
    </row>
    <row r="509" ht="37.5" customHeight="1">
      <c r="A509" s="8"/>
      <c r="B509" s="8"/>
      <c r="C509" s="8"/>
      <c r="D509" s="8"/>
      <c r="E509" s="8"/>
      <c r="F509" s="8"/>
    </row>
    <row r="510" ht="37.5" customHeight="1">
      <c r="A510" s="8"/>
      <c r="B510" s="8"/>
      <c r="C510" s="8"/>
      <c r="D510" s="8"/>
      <c r="E510" s="8"/>
      <c r="F510" s="8"/>
    </row>
    <row r="511" ht="37.5" customHeight="1">
      <c r="A511" s="8"/>
      <c r="B511" s="8"/>
      <c r="C511" s="8"/>
      <c r="D511" s="8"/>
      <c r="E511" s="8"/>
      <c r="F511" s="8"/>
    </row>
    <row r="512" ht="37.5" customHeight="1">
      <c r="A512" s="8"/>
      <c r="B512" s="8"/>
      <c r="C512" s="8"/>
      <c r="D512" s="8"/>
      <c r="E512" s="8"/>
      <c r="F512" s="8"/>
    </row>
    <row r="513" ht="37.5" customHeight="1">
      <c r="A513" s="8"/>
      <c r="B513" s="8"/>
      <c r="C513" s="8"/>
      <c r="D513" s="8"/>
      <c r="E513" s="8"/>
      <c r="F513" s="8"/>
    </row>
    <row r="514" ht="37.5" customHeight="1">
      <c r="A514" s="8"/>
      <c r="B514" s="8"/>
      <c r="C514" s="8"/>
      <c r="D514" s="8"/>
      <c r="E514" s="8"/>
      <c r="F514" s="8"/>
    </row>
    <row r="515" ht="37.5" customHeight="1">
      <c r="A515" s="8"/>
      <c r="B515" s="8"/>
      <c r="C515" s="8"/>
      <c r="D515" s="8"/>
      <c r="E515" s="8"/>
      <c r="F515" s="8"/>
    </row>
    <row r="516" ht="37.5" customHeight="1">
      <c r="A516" s="8"/>
      <c r="B516" s="8"/>
      <c r="C516" s="8"/>
      <c r="D516" s="8"/>
      <c r="E516" s="8"/>
      <c r="F516" s="8"/>
    </row>
    <row r="517" ht="37.5" customHeight="1">
      <c r="A517" s="8"/>
      <c r="B517" s="8"/>
      <c r="C517" s="8"/>
      <c r="D517" s="8"/>
      <c r="E517" s="8"/>
      <c r="F517" s="8"/>
    </row>
    <row r="518" ht="37.5" customHeight="1">
      <c r="A518" s="8"/>
      <c r="B518" s="8"/>
      <c r="C518" s="8"/>
      <c r="D518" s="8"/>
      <c r="E518" s="8"/>
      <c r="F518" s="8"/>
    </row>
    <row r="519" ht="37.5" customHeight="1">
      <c r="A519" s="8"/>
      <c r="B519" s="8"/>
      <c r="C519" s="8"/>
      <c r="D519" s="8"/>
      <c r="E519" s="8"/>
      <c r="F519" s="8"/>
    </row>
    <row r="520" ht="37.5" customHeight="1">
      <c r="A520" s="8"/>
      <c r="B520" s="8"/>
      <c r="C520" s="8"/>
      <c r="D520" s="8"/>
      <c r="E520" s="8"/>
      <c r="F520" s="8"/>
    </row>
    <row r="521" ht="37.5" customHeight="1">
      <c r="A521" s="8"/>
      <c r="B521" s="8"/>
      <c r="C521" s="8"/>
      <c r="D521" s="8"/>
      <c r="E521" s="8"/>
      <c r="F521" s="8"/>
    </row>
    <row r="522" ht="37.5" customHeight="1">
      <c r="A522" s="8"/>
      <c r="B522" s="8"/>
      <c r="C522" s="8"/>
      <c r="D522" s="8"/>
      <c r="E522" s="8"/>
      <c r="F522" s="8"/>
    </row>
    <row r="523" ht="37.5" customHeight="1">
      <c r="A523" s="8"/>
      <c r="B523" s="8"/>
      <c r="C523" s="8"/>
      <c r="D523" s="8"/>
      <c r="E523" s="8"/>
      <c r="F523" s="8"/>
    </row>
    <row r="524" ht="37.5" customHeight="1">
      <c r="A524" s="8"/>
      <c r="B524" s="8"/>
      <c r="C524" s="8"/>
      <c r="D524" s="8"/>
      <c r="E524" s="8"/>
      <c r="F524" s="8"/>
    </row>
    <row r="525" ht="37.5" customHeight="1">
      <c r="A525" s="8"/>
      <c r="B525" s="8"/>
      <c r="C525" s="8"/>
      <c r="D525" s="8"/>
      <c r="E525" s="8"/>
      <c r="F525" s="8"/>
    </row>
    <row r="526" ht="37.5" customHeight="1">
      <c r="A526" s="8"/>
      <c r="B526" s="8"/>
      <c r="C526" s="8"/>
      <c r="D526" s="8"/>
      <c r="E526" s="8"/>
      <c r="F526" s="8"/>
    </row>
    <row r="527" ht="37.5" customHeight="1">
      <c r="A527" s="8"/>
      <c r="B527" s="8"/>
      <c r="C527" s="8"/>
      <c r="D527" s="8"/>
      <c r="E527" s="8"/>
      <c r="F527" s="8"/>
    </row>
    <row r="528" ht="37.5" customHeight="1">
      <c r="A528" s="8"/>
      <c r="B528" s="8"/>
      <c r="C528" s="8"/>
      <c r="D528" s="8"/>
      <c r="E528" s="8"/>
      <c r="F528" s="8"/>
    </row>
    <row r="529" ht="37.5" customHeight="1">
      <c r="A529" s="8"/>
      <c r="B529" s="8"/>
      <c r="C529" s="8"/>
      <c r="D529" s="8"/>
      <c r="E529" s="8"/>
      <c r="F529" s="8"/>
    </row>
    <row r="530" ht="37.5" customHeight="1">
      <c r="A530" s="8"/>
      <c r="B530" s="8"/>
      <c r="C530" s="8"/>
      <c r="D530" s="8"/>
      <c r="E530" s="8"/>
      <c r="F530" s="8"/>
    </row>
    <row r="531" ht="37.5" customHeight="1">
      <c r="A531" s="8"/>
      <c r="B531" s="8"/>
      <c r="C531" s="8"/>
      <c r="D531" s="8"/>
      <c r="E531" s="8"/>
      <c r="F531" s="8"/>
    </row>
    <row r="532" ht="37.5" customHeight="1">
      <c r="A532" s="8"/>
      <c r="B532" s="8"/>
      <c r="C532" s="8"/>
      <c r="D532" s="8"/>
      <c r="E532" s="8"/>
      <c r="F532" s="8"/>
    </row>
    <row r="533" ht="37.5" customHeight="1">
      <c r="A533" s="8"/>
      <c r="B533" s="8"/>
      <c r="C533" s="8"/>
      <c r="D533" s="8"/>
      <c r="E533" s="8"/>
      <c r="F533" s="8"/>
    </row>
    <row r="534" ht="37.5" customHeight="1">
      <c r="A534" s="8"/>
      <c r="B534" s="8"/>
      <c r="C534" s="8"/>
      <c r="D534" s="8"/>
      <c r="E534" s="8"/>
      <c r="F534" s="8"/>
    </row>
    <row r="535" ht="37.5" customHeight="1">
      <c r="A535" s="8"/>
      <c r="B535" s="8"/>
      <c r="C535" s="8"/>
      <c r="D535" s="8"/>
      <c r="E535" s="8"/>
      <c r="F535" s="8"/>
    </row>
    <row r="536" ht="37.5" customHeight="1">
      <c r="A536" s="8"/>
      <c r="B536" s="8"/>
      <c r="C536" s="8"/>
      <c r="D536" s="8"/>
      <c r="E536" s="8"/>
      <c r="F536" s="8"/>
    </row>
    <row r="537" ht="37.5" customHeight="1">
      <c r="A537" s="8"/>
      <c r="B537" s="8"/>
      <c r="C537" s="8"/>
      <c r="D537" s="8"/>
      <c r="E537" s="8"/>
      <c r="F537" s="8"/>
    </row>
    <row r="538" ht="37.5" customHeight="1">
      <c r="A538" s="8"/>
      <c r="B538" s="8"/>
      <c r="C538" s="8"/>
      <c r="D538" s="8"/>
      <c r="E538" s="8"/>
      <c r="F538" s="8"/>
    </row>
    <row r="539" ht="37.5" customHeight="1">
      <c r="A539" s="8"/>
      <c r="B539" s="8"/>
      <c r="C539" s="8"/>
      <c r="D539" s="8"/>
      <c r="E539" s="8"/>
      <c r="F539" s="8"/>
    </row>
    <row r="540" ht="37.5" customHeight="1">
      <c r="A540" s="8"/>
      <c r="B540" s="8"/>
      <c r="C540" s="8"/>
      <c r="D540" s="8"/>
      <c r="E540" s="8"/>
      <c r="F540" s="8"/>
    </row>
    <row r="541" ht="37.5" customHeight="1">
      <c r="A541" s="8"/>
      <c r="B541" s="8"/>
      <c r="C541" s="8"/>
      <c r="D541" s="8"/>
      <c r="E541" s="8"/>
      <c r="F541" s="8"/>
    </row>
    <row r="542" ht="37.5" customHeight="1">
      <c r="A542" s="8"/>
      <c r="B542" s="8"/>
      <c r="C542" s="8"/>
      <c r="D542" s="8"/>
      <c r="E542" s="8"/>
      <c r="F542" s="8"/>
    </row>
    <row r="543" ht="37.5" customHeight="1">
      <c r="A543" s="8"/>
      <c r="B543" s="8"/>
      <c r="C543" s="8"/>
      <c r="D543" s="8"/>
      <c r="E543" s="8"/>
      <c r="F543" s="8"/>
    </row>
    <row r="544" ht="37.5" customHeight="1">
      <c r="A544" s="8"/>
      <c r="B544" s="8"/>
      <c r="C544" s="8"/>
      <c r="D544" s="8"/>
      <c r="E544" s="8"/>
      <c r="F544" s="8"/>
    </row>
    <row r="545" ht="37.5" customHeight="1">
      <c r="A545" s="8"/>
      <c r="B545" s="8"/>
      <c r="C545" s="8"/>
      <c r="D545" s="8"/>
      <c r="E545" s="8"/>
      <c r="F545" s="8"/>
    </row>
    <row r="546" ht="37.5" customHeight="1">
      <c r="A546" s="8"/>
      <c r="B546" s="8"/>
      <c r="C546" s="8"/>
      <c r="D546" s="8"/>
      <c r="E546" s="8"/>
      <c r="F546" s="8"/>
    </row>
    <row r="547" ht="37.5" customHeight="1">
      <c r="A547" s="8"/>
      <c r="B547" s="8"/>
      <c r="C547" s="8"/>
      <c r="D547" s="8"/>
      <c r="E547" s="8"/>
      <c r="F547" s="8"/>
    </row>
    <row r="548" ht="37.5" customHeight="1">
      <c r="A548" s="8"/>
      <c r="B548" s="8"/>
      <c r="C548" s="8"/>
      <c r="D548" s="8"/>
      <c r="E548" s="8"/>
      <c r="F548" s="8"/>
    </row>
    <row r="549" ht="37.5" customHeight="1">
      <c r="A549" s="8"/>
      <c r="B549" s="8"/>
      <c r="C549" s="8"/>
      <c r="D549" s="8"/>
      <c r="E549" s="8"/>
      <c r="F549" s="8"/>
    </row>
    <row r="550" ht="37.5" customHeight="1">
      <c r="A550" s="8"/>
      <c r="B550" s="8"/>
      <c r="C550" s="8"/>
      <c r="D550" s="8"/>
      <c r="E550" s="8"/>
      <c r="F550" s="8"/>
    </row>
    <row r="551" ht="37.5" customHeight="1">
      <c r="A551" s="8"/>
      <c r="B551" s="8"/>
      <c r="C551" s="8"/>
      <c r="D551" s="8"/>
      <c r="E551" s="8"/>
      <c r="F551" s="8"/>
    </row>
    <row r="552" ht="37.5" customHeight="1">
      <c r="A552" s="8"/>
      <c r="B552" s="8"/>
      <c r="C552" s="8"/>
      <c r="D552" s="8"/>
      <c r="E552" s="8"/>
      <c r="F552" s="8"/>
    </row>
    <row r="553" ht="37.5" customHeight="1">
      <c r="A553" s="8"/>
      <c r="B553" s="8"/>
      <c r="C553" s="8"/>
      <c r="D553" s="8"/>
      <c r="E553" s="8"/>
      <c r="F553" s="8"/>
    </row>
    <row r="554" ht="37.5" customHeight="1">
      <c r="A554" s="8"/>
      <c r="B554" s="8"/>
      <c r="C554" s="8"/>
      <c r="D554" s="8"/>
      <c r="E554" s="8"/>
      <c r="F554" s="8"/>
    </row>
    <row r="555" ht="37.5" customHeight="1">
      <c r="A555" s="8"/>
      <c r="B555" s="8"/>
      <c r="C555" s="8"/>
      <c r="D555" s="8"/>
      <c r="E555" s="8"/>
      <c r="F555" s="8"/>
    </row>
    <row r="556" ht="37.5" customHeight="1">
      <c r="A556" s="8"/>
      <c r="B556" s="8"/>
      <c r="C556" s="8"/>
      <c r="D556" s="8"/>
      <c r="E556" s="8"/>
      <c r="F556" s="8"/>
    </row>
    <row r="557" ht="37.5" customHeight="1">
      <c r="A557" s="8"/>
      <c r="B557" s="8"/>
      <c r="C557" s="8"/>
      <c r="D557" s="8"/>
      <c r="E557" s="8"/>
      <c r="F557" s="8"/>
    </row>
    <row r="558" ht="37.5" customHeight="1">
      <c r="A558" s="8"/>
      <c r="B558" s="8"/>
      <c r="C558" s="8"/>
      <c r="D558" s="8"/>
      <c r="E558" s="8"/>
      <c r="F558" s="8"/>
    </row>
    <row r="559" ht="37.5" customHeight="1">
      <c r="A559" s="8"/>
      <c r="B559" s="8"/>
      <c r="C559" s="8"/>
      <c r="D559" s="8"/>
      <c r="E559" s="8"/>
      <c r="F559" s="8"/>
    </row>
    <row r="560" ht="37.5" customHeight="1">
      <c r="A560" s="8"/>
      <c r="B560" s="8"/>
      <c r="C560" s="8"/>
      <c r="D560" s="8"/>
      <c r="E560" s="8"/>
      <c r="F560" s="8"/>
    </row>
    <row r="561" ht="37.5" customHeight="1">
      <c r="A561" s="8"/>
      <c r="B561" s="8"/>
      <c r="C561" s="8"/>
      <c r="D561" s="8"/>
      <c r="E561" s="8"/>
      <c r="F561" s="8"/>
    </row>
    <row r="562" ht="37.5" customHeight="1">
      <c r="A562" s="8"/>
      <c r="B562" s="8"/>
      <c r="C562" s="8"/>
      <c r="D562" s="8"/>
      <c r="E562" s="8"/>
      <c r="F562" s="8"/>
    </row>
    <row r="563" ht="37.5" customHeight="1">
      <c r="A563" s="8"/>
      <c r="B563" s="8"/>
      <c r="C563" s="8"/>
      <c r="D563" s="8"/>
      <c r="E563" s="8"/>
      <c r="F563" s="8"/>
    </row>
    <row r="564" ht="37.5" customHeight="1">
      <c r="A564" s="8"/>
      <c r="B564" s="8"/>
      <c r="C564" s="8"/>
      <c r="D564" s="8"/>
      <c r="E564" s="8"/>
      <c r="F564" s="8"/>
    </row>
    <row r="565" ht="37.5" customHeight="1">
      <c r="A565" s="8"/>
      <c r="B565" s="8"/>
      <c r="C565" s="8"/>
      <c r="D565" s="8"/>
      <c r="E565" s="8"/>
      <c r="F565" s="8"/>
    </row>
    <row r="566" ht="37.5" customHeight="1">
      <c r="A566" s="8"/>
      <c r="B566" s="8"/>
      <c r="C566" s="8"/>
      <c r="D566" s="8"/>
      <c r="E566" s="8"/>
      <c r="F566" s="8"/>
    </row>
    <row r="567" ht="37.5" customHeight="1">
      <c r="A567" s="8"/>
      <c r="B567" s="8"/>
      <c r="C567" s="8"/>
      <c r="D567" s="8"/>
      <c r="E567" s="8"/>
      <c r="F567" s="8"/>
    </row>
    <row r="568" ht="37.5" customHeight="1">
      <c r="A568" s="8"/>
      <c r="B568" s="8"/>
      <c r="C568" s="8"/>
      <c r="D568" s="8"/>
      <c r="E568" s="8"/>
      <c r="F568" s="8"/>
    </row>
    <row r="569" ht="37.5" customHeight="1">
      <c r="A569" s="8"/>
      <c r="B569" s="8"/>
      <c r="C569" s="8"/>
      <c r="D569" s="8"/>
      <c r="E569" s="8"/>
      <c r="F569" s="8"/>
    </row>
    <row r="570" ht="37.5" customHeight="1">
      <c r="A570" s="8"/>
      <c r="B570" s="8"/>
      <c r="C570" s="8"/>
      <c r="D570" s="8"/>
      <c r="E570" s="8"/>
      <c r="F570" s="8"/>
    </row>
    <row r="571" ht="37.5" customHeight="1">
      <c r="A571" s="8"/>
      <c r="B571" s="8"/>
      <c r="C571" s="8"/>
      <c r="D571" s="8"/>
      <c r="E571" s="8"/>
      <c r="F571" s="8"/>
    </row>
    <row r="572" ht="37.5" customHeight="1">
      <c r="A572" s="8"/>
      <c r="B572" s="8"/>
      <c r="C572" s="8"/>
      <c r="D572" s="8"/>
      <c r="E572" s="8"/>
      <c r="F572" s="8"/>
    </row>
    <row r="573" ht="37.5" customHeight="1">
      <c r="A573" s="8"/>
      <c r="B573" s="8"/>
      <c r="C573" s="8"/>
      <c r="D573" s="8"/>
      <c r="E573" s="8"/>
      <c r="F573" s="8"/>
    </row>
    <row r="574" ht="37.5" customHeight="1">
      <c r="A574" s="8"/>
      <c r="B574" s="8"/>
      <c r="C574" s="8"/>
      <c r="D574" s="8"/>
      <c r="E574" s="8"/>
      <c r="F574" s="8"/>
    </row>
    <row r="575" ht="37.5" customHeight="1">
      <c r="A575" s="8"/>
      <c r="B575" s="8"/>
      <c r="C575" s="8"/>
      <c r="D575" s="8"/>
      <c r="E575" s="8"/>
      <c r="F575" s="8"/>
    </row>
    <row r="576" ht="37.5" customHeight="1">
      <c r="A576" s="8"/>
      <c r="B576" s="8"/>
      <c r="C576" s="8"/>
      <c r="D576" s="8"/>
      <c r="E576" s="8"/>
      <c r="F576" s="8"/>
    </row>
  </sheetData>
  <customSheetViews>
    <customSheetView guid="{B07D8034-17A6-4979-AD0A-EDA5D4406C74}" filter="1" showAutoFilter="1">
      <autoFilter ref="$A$1:$F$42"/>
    </customSheetView>
  </customSheetView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5.13"/>
    <col customWidth="1" min="3" max="3" width="7.25"/>
    <col customWidth="1" min="4" max="4" width="9.38"/>
    <col customWidth="1" min="5" max="5" width="8.0"/>
    <col customWidth="1" min="6" max="6" width="25.13"/>
  </cols>
  <sheetData>
    <row r="1" ht="37.5" customHeight="1">
      <c r="A1" s="10" t="s">
        <v>0</v>
      </c>
      <c r="B1" s="10" t="s">
        <v>1</v>
      </c>
      <c r="C1" s="10" t="s">
        <v>2</v>
      </c>
      <c r="D1" s="10" t="s">
        <v>3</v>
      </c>
      <c r="E1" s="10" t="s">
        <v>4</v>
      </c>
      <c r="F1" s="10" t="s">
        <v>5</v>
      </c>
    </row>
    <row r="2" ht="37.5" customHeight="1">
      <c r="A2" s="8" t="str">
        <f>IFERROR(__xludf.DUMMYFUNCTION("FILTER('All Costumes'!A2:F645, 'All Costumes'!E2:E645=""head3"")"),"n001_puberty.anm2")</f>
        <v>n001_puberty.anm2</v>
      </c>
      <c r="B2" s="8">
        <f>IFERROR(__xludf.DUMMYFUNCTION("""COMPUTED_VALUE"""),1.0)</f>
        <v>1</v>
      </c>
      <c r="C2" s="8" t="str">
        <f>IFERROR(__xludf.DUMMYFUNCTION("""COMPUTED_VALUE"""),"none")</f>
        <v>none</v>
      </c>
      <c r="D2" s="8">
        <f>IFERROR(__xludf.DUMMYFUNCTION("""COMPUTED_VALUE"""),0.0)</f>
        <v>0</v>
      </c>
      <c r="E2" s="8" t="str">
        <f>IFERROR(__xludf.DUMMYFUNCTION("""COMPUTED_VALUE"""),"head3")</f>
        <v>head3</v>
      </c>
      <c r="F2" s="8" t="str">
        <f>IFERROR(__xludf.DUMMYFUNCTION("""COMPUTED_VALUE"""),"")</f>
        <v/>
      </c>
    </row>
    <row r="3" ht="37.5" customHeight="1">
      <c r="A3" s="8" t="str">
        <f>IFERROR(__xludf.DUMMYFUNCTION("""COMPUTED_VALUE"""),"003_spoon bender.anm2")</f>
        <v>003_spoon bender.anm2</v>
      </c>
      <c r="B3" s="8">
        <f>IFERROR(__xludf.DUMMYFUNCTION("""COMPUTED_VALUE"""),3.0)</f>
        <v>3</v>
      </c>
      <c r="C3" s="8" t="str">
        <f>IFERROR(__xludf.DUMMYFUNCTION("""COMPUTED_VALUE"""),"passive")</f>
        <v>passive</v>
      </c>
      <c r="D3" s="8">
        <f>IFERROR(__xludf.DUMMYFUNCTION("""COMPUTED_VALUE"""),0.0)</f>
        <v>0</v>
      </c>
      <c r="E3" s="8" t="str">
        <f>IFERROR(__xludf.DUMMYFUNCTION("""COMPUTED_VALUE"""),"head3")</f>
        <v>head3</v>
      </c>
      <c r="F3" s="8" t="str">
        <f>IFERROR(__xludf.DUMMYFUNCTION("""COMPUTED_VALUE"""),"")</f>
        <v/>
      </c>
    </row>
    <row r="4" ht="37.5" customHeight="1">
      <c r="A4" s="8" t="str">
        <f>IFERROR(__xludf.DUMMYFUNCTION("""COMPUTED_VALUE"""),"210_gnawedleaf_statue.anm2")</f>
        <v>210_gnawedleaf_statue.anm2</v>
      </c>
      <c r="B4" s="8">
        <f>IFERROR(__xludf.DUMMYFUNCTION("""COMPUTED_VALUE"""),4.0)</f>
        <v>4</v>
      </c>
      <c r="C4" s="8" t="str">
        <f>IFERROR(__xludf.DUMMYFUNCTION("""COMPUTED_VALUE"""),"none")</f>
        <v>none</v>
      </c>
      <c r="D4" s="8">
        <f>IFERROR(__xludf.DUMMYFUNCTION("""COMPUTED_VALUE"""),50.0)</f>
        <v>50</v>
      </c>
      <c r="E4" s="8" t="str">
        <f>IFERROR(__xludf.DUMMYFUNCTION("""COMPUTED_VALUE"""),"head3")</f>
        <v>head3</v>
      </c>
      <c r="F4" s="8" t="str">
        <f>IFERROR(__xludf.DUMMYFUNCTION("""COMPUTED_VALUE"""),"")</f>
        <v/>
      </c>
    </row>
    <row r="5" ht="37.5" customHeight="1">
      <c r="A5" s="8" t="str">
        <f>IFERROR(__xludf.DUMMYFUNCTION("""COMPUTED_VALUE"""),"n014_blindfold.anm2")</f>
        <v>n014_blindfold.anm2</v>
      </c>
      <c r="B5" s="8">
        <f>IFERROR(__xludf.DUMMYFUNCTION("""COMPUTED_VALUE"""),14.0)</f>
        <v>14</v>
      </c>
      <c r="C5" s="8" t="str">
        <f>IFERROR(__xludf.DUMMYFUNCTION("""COMPUTED_VALUE"""),"none")</f>
        <v>none</v>
      </c>
      <c r="D5" s="8">
        <f>IFERROR(__xludf.DUMMYFUNCTION("""COMPUTED_VALUE"""),101.0)</f>
        <v>101</v>
      </c>
      <c r="E5" s="8" t="str">
        <f>IFERROR(__xludf.DUMMYFUNCTION("""COMPUTED_VALUE"""),"head3")</f>
        <v>head3</v>
      </c>
      <c r="F5" s="8" t="str">
        <f>IFERROR(__xludf.DUMMYFUNCTION("""COMPUTED_VALUE"""),"")</f>
        <v/>
      </c>
    </row>
    <row r="6" ht="37.5" customHeight="1">
      <c r="A6" s="8" t="str">
        <f>IFERROR(__xludf.DUMMYFUNCTION("""COMPUTED_VALUE"""),"character_lilithhair.anm2")</f>
        <v>character_lilithhair.anm2</v>
      </c>
      <c r="B6" s="8">
        <f>IFERROR(__xludf.DUMMYFUNCTION("""COMPUTED_VALUE"""),34.0)</f>
        <v>34</v>
      </c>
      <c r="C6" s="8" t="str">
        <f>IFERROR(__xludf.DUMMYFUNCTION("""COMPUTED_VALUE"""),"none")</f>
        <v>none</v>
      </c>
      <c r="D6" s="8">
        <f>IFERROR(__xludf.DUMMYFUNCTION("""COMPUTED_VALUE"""),99.0)</f>
        <v>99</v>
      </c>
      <c r="E6" s="8" t="str">
        <f>IFERROR(__xludf.DUMMYFUNCTION("""COMPUTED_VALUE"""),"head3")</f>
        <v>head3</v>
      </c>
      <c r="F6" s="8" t="str">
        <f>IFERROR(__xludf.DUMMYFUNCTION("""COMPUTED_VALUE"""),"")</f>
        <v/>
      </c>
    </row>
    <row r="7" ht="37.5" customHeight="1">
      <c r="A7" s="8" t="str">
        <f>IFERROR(__xludf.DUMMYFUNCTION("""COMPUTED_VALUE"""),"049_shoop da whoop.anm2")</f>
        <v>049_shoop da whoop.anm2</v>
      </c>
      <c r="B7" s="8">
        <f>IFERROR(__xludf.DUMMYFUNCTION("""COMPUTED_VALUE"""),49.0)</f>
        <v>49</v>
      </c>
      <c r="C7" s="8" t="str">
        <f>IFERROR(__xludf.DUMMYFUNCTION("""COMPUTED_VALUE"""),"active")</f>
        <v>active</v>
      </c>
      <c r="D7" s="8">
        <f>IFERROR(__xludf.DUMMYFUNCTION("""COMPUTED_VALUE"""),30.0)</f>
        <v>30</v>
      </c>
      <c r="E7" s="8" t="str">
        <f>IFERROR(__xludf.DUMMYFUNCTION("""COMPUTED_VALUE"""),"head3")</f>
        <v>head3</v>
      </c>
      <c r="F7" s="8" t="str">
        <f>IFERROR(__xludf.DUMMYFUNCTION("""COMPUTED_VALUE"""),"")</f>
        <v/>
      </c>
    </row>
    <row r="8" ht="37.5" customHeight="1">
      <c r="A8" s="8" t="str">
        <f>IFERROR(__xludf.DUMMYFUNCTION("""COMPUTED_VALUE"""),"050_steven.anm2")</f>
        <v>050_steven.anm2</v>
      </c>
      <c r="B8" s="8">
        <f>IFERROR(__xludf.DUMMYFUNCTION("""COMPUTED_VALUE"""),50.0)</f>
        <v>50</v>
      </c>
      <c r="C8" s="8" t="str">
        <f>IFERROR(__xludf.DUMMYFUNCTION("""COMPUTED_VALUE"""),"passive")</f>
        <v>passive</v>
      </c>
      <c r="D8" s="8">
        <f>IFERROR(__xludf.DUMMYFUNCTION("""COMPUTED_VALUE"""),0.0)</f>
        <v>0</v>
      </c>
      <c r="E8" s="8" t="str">
        <f>IFERROR(__xludf.DUMMYFUNCTION("""COMPUTED_VALUE"""),"head3")</f>
        <v>head3</v>
      </c>
      <c r="F8" s="8" t="str">
        <f>IFERROR(__xludf.DUMMYFUNCTION("""COMPUTED_VALUE"""),"")</f>
        <v/>
      </c>
    </row>
    <row r="9" ht="37.5" customHeight="1">
      <c r="A9" s="8" t="str">
        <f>IFERROR(__xludf.DUMMYFUNCTION("""COMPUTED_VALUE"""),"051_pentagram.anm2")</f>
        <v>051_pentagram.anm2</v>
      </c>
      <c r="B9" s="8">
        <f>IFERROR(__xludf.DUMMYFUNCTION("""COMPUTED_VALUE"""),51.0)</f>
        <v>51</v>
      </c>
      <c r="C9" s="8" t="str">
        <f>IFERROR(__xludf.DUMMYFUNCTION("""COMPUTED_VALUE"""),"passive")</f>
        <v>passive</v>
      </c>
      <c r="D9" s="8">
        <f>IFERROR(__xludf.DUMMYFUNCTION("""COMPUTED_VALUE"""),0.0)</f>
        <v>0</v>
      </c>
      <c r="E9" s="8" t="str">
        <f>IFERROR(__xludf.DUMMYFUNCTION("""COMPUTED_VALUE"""),"head3")</f>
        <v>head3</v>
      </c>
      <c r="F9" s="8" t="str">
        <f>IFERROR(__xludf.DUMMYFUNCTION("""COMPUTED_VALUE"""),"")</f>
        <v/>
      </c>
    </row>
    <row r="10" ht="37.5" customHeight="1">
      <c r="A10" s="8" t="str">
        <f>IFERROR(__xludf.DUMMYFUNCTION("""COMPUTED_VALUE"""),"053_magneto.anm2")</f>
        <v>053_magneto.anm2</v>
      </c>
      <c r="B10" s="8">
        <f>IFERROR(__xludf.DUMMYFUNCTION("""COMPUTED_VALUE"""),53.0)</f>
        <v>53</v>
      </c>
      <c r="C10" s="8" t="str">
        <f>IFERROR(__xludf.DUMMYFUNCTION("""COMPUTED_VALUE"""),"passive")</f>
        <v>passive</v>
      </c>
      <c r="D10" s="8">
        <f>IFERROR(__xludf.DUMMYFUNCTION("""COMPUTED_VALUE"""),0.0)</f>
        <v>0</v>
      </c>
      <c r="E10" s="8" t="str">
        <f>IFERROR(__xludf.DUMMYFUNCTION("""COMPUTED_VALUE"""),"head3")</f>
        <v>head3</v>
      </c>
      <c r="F10" s="8" t="str">
        <f>IFERROR(__xludf.DUMMYFUNCTION("""COMPUTED_VALUE"""),"")</f>
        <v/>
      </c>
    </row>
    <row r="11" ht="37.5" customHeight="1">
      <c r="A11" s="8" t="str">
        <f>IFERROR(__xludf.DUMMYFUNCTION("""COMPUTED_VALUE"""),"663_toothandnail_statue.anm2")</f>
        <v>663_toothandnail_statue.anm2</v>
      </c>
      <c r="B11" s="8">
        <f>IFERROR(__xludf.DUMMYFUNCTION("""COMPUTED_VALUE"""),59.0)</f>
        <v>59</v>
      </c>
      <c r="C11" s="8" t="str">
        <f>IFERROR(__xludf.DUMMYFUNCTION("""COMPUTED_VALUE"""),"none")</f>
        <v>none</v>
      </c>
      <c r="D11" s="8">
        <f>IFERROR(__xludf.DUMMYFUNCTION("""COMPUTED_VALUE"""),51.0)</f>
        <v>51</v>
      </c>
      <c r="E11" s="8" t="str">
        <f>IFERROR(__xludf.DUMMYFUNCTION("""COMPUTED_VALUE"""),"head3")</f>
        <v>head3</v>
      </c>
      <c r="F11" s="8" t="str">
        <f>IFERROR(__xludf.DUMMYFUNCTION("""COMPUTED_VALUE"""),"")</f>
        <v/>
      </c>
    </row>
    <row r="12" ht="37.5" customHeight="1">
      <c r="A12" s="8" t="str">
        <f>IFERROR(__xludf.DUMMYFUNCTION("""COMPUTED_VALUE"""),"n_reverse_empress.anm2")</f>
        <v>n_reverse_empress.anm2</v>
      </c>
      <c r="B12" s="8">
        <f>IFERROR(__xludf.DUMMYFUNCTION("""COMPUTED_VALUE"""),62.0)</f>
        <v>62</v>
      </c>
      <c r="C12" s="8" t="str">
        <f>IFERROR(__xludf.DUMMYFUNCTION("""COMPUTED_VALUE"""),"none")</f>
        <v>none</v>
      </c>
      <c r="D12" s="8">
        <f>IFERROR(__xludf.DUMMYFUNCTION("""COMPUTED_VALUE"""),100.0)</f>
        <v>100</v>
      </c>
      <c r="E12" s="8" t="str">
        <f>IFERROR(__xludf.DUMMYFUNCTION("""COMPUTED_VALUE"""),"head3")</f>
        <v>head3</v>
      </c>
      <c r="F12" s="8" t="str">
        <f>IFERROR(__xludf.DUMMYFUNCTION("""COMPUTED_VALUE"""),"")</f>
        <v/>
      </c>
    </row>
    <row r="13" ht="37.5" customHeight="1">
      <c r="A13" s="8" t="str">
        <f>IFERROR(__xludf.DUMMYFUNCTION("""COMPUTED_VALUE"""),"n_reverse_chariot.anm2")</f>
        <v>n_reverse_chariot.anm2</v>
      </c>
      <c r="B13" s="8">
        <f>IFERROR(__xludf.DUMMYFUNCTION("""COMPUTED_VALUE"""),63.0)</f>
        <v>63</v>
      </c>
      <c r="C13" s="8" t="str">
        <f>IFERROR(__xludf.DUMMYFUNCTION("""COMPUTED_VALUE"""),"none")</f>
        <v>none</v>
      </c>
      <c r="D13" s="8">
        <f>IFERROR(__xludf.DUMMYFUNCTION("""COMPUTED_VALUE"""),51.0)</f>
        <v>51</v>
      </c>
      <c r="E13" s="8" t="str">
        <f>IFERROR(__xludf.DUMMYFUNCTION("""COMPUTED_VALUE"""),"head3")</f>
        <v>head3</v>
      </c>
      <c r="F13" s="8" t="str">
        <f>IFERROR(__xludf.DUMMYFUNCTION("""COMPUTED_VALUE"""),"")</f>
        <v/>
      </c>
    </row>
    <row r="14" ht="37.5" customHeight="1">
      <c r="A14" s="8" t="str">
        <f>IFERROR(__xludf.DUMMYFUNCTION("""COMPUTED_VALUE"""),"n_reverse_chariot_alt.anm2")</f>
        <v>n_reverse_chariot_alt.anm2</v>
      </c>
      <c r="B14" s="8">
        <f>IFERROR(__xludf.DUMMYFUNCTION("""COMPUTED_VALUE"""),68.0)</f>
        <v>68</v>
      </c>
      <c r="C14" s="8" t="str">
        <f>IFERROR(__xludf.DUMMYFUNCTION("""COMPUTED_VALUE"""),"none")</f>
        <v>none</v>
      </c>
      <c r="D14" s="8">
        <f>IFERROR(__xludf.DUMMYFUNCTION("""COMPUTED_VALUE"""),51.0)</f>
        <v>51</v>
      </c>
      <c r="E14" s="8" t="str">
        <f>IFERROR(__xludf.DUMMYFUNCTION("""COMPUTED_VALUE"""),"head3")</f>
        <v>head3</v>
      </c>
      <c r="F14" s="8" t="str">
        <f>IFERROR(__xludf.DUMMYFUNCTION("""COMPUTED_VALUE"""),"")</f>
        <v/>
      </c>
    </row>
    <row r="15" ht="37.5" customHeight="1">
      <c r="A15" s="8" t="str">
        <f>IFERROR(__xludf.DUMMYFUNCTION("""COMPUTED_VALUE"""),"070_growth hormones.anm2")</f>
        <v>070_growth hormones.anm2</v>
      </c>
      <c r="B15" s="8">
        <f>IFERROR(__xludf.DUMMYFUNCTION("""COMPUTED_VALUE"""),70.0)</f>
        <v>70</v>
      </c>
      <c r="C15" s="8" t="str">
        <f>IFERROR(__xludf.DUMMYFUNCTION("""COMPUTED_VALUE"""),"passive")</f>
        <v>passive</v>
      </c>
      <c r="D15" s="8">
        <f>IFERROR(__xludf.DUMMYFUNCTION("""COMPUTED_VALUE"""),0.0)</f>
        <v>0</v>
      </c>
      <c r="E15" s="8" t="str">
        <f>IFERROR(__xludf.DUMMYFUNCTION("""COMPUTED_VALUE"""),"head3")</f>
        <v>head3</v>
      </c>
      <c r="F15" s="8" t="str">
        <f>IFERROR(__xludf.DUMMYFUNCTION("""COMPUTED_VALUE"""),"")</f>
        <v/>
      </c>
    </row>
    <row r="16" ht="37.5" customHeight="1">
      <c r="A16" s="8" t="str">
        <f>IFERROR(__xludf.DUMMYFUNCTION("""COMPUTED_VALUE"""),"080_the pact.anm2")</f>
        <v>080_the pact.anm2</v>
      </c>
      <c r="B16" s="8">
        <f>IFERROR(__xludf.DUMMYFUNCTION("""COMPUTED_VALUE"""),80.0)</f>
        <v>80</v>
      </c>
      <c r="C16" s="8" t="str">
        <f>IFERROR(__xludf.DUMMYFUNCTION("""COMPUTED_VALUE"""),"passive")</f>
        <v>passive</v>
      </c>
      <c r="D16" s="8">
        <f>IFERROR(__xludf.DUMMYFUNCTION("""COMPUTED_VALUE"""),0.0)</f>
        <v>0</v>
      </c>
      <c r="E16" s="8" t="str">
        <f>IFERROR(__xludf.DUMMYFUNCTION("""COMPUTED_VALUE"""),"head3")</f>
        <v>head3</v>
      </c>
      <c r="F16" s="8" t="str">
        <f>IFERROR(__xludf.DUMMYFUNCTION("""COMPUTED_VALUE"""),"")</f>
        <v/>
      </c>
    </row>
    <row r="17" ht="37.5" customHeight="1">
      <c r="A17" s="8" t="str">
        <f>IFERROR(__xludf.DUMMYFUNCTION("""COMPUTED_VALUE"""),"087_lokis horns.anm2")</f>
        <v>087_lokis horns.anm2</v>
      </c>
      <c r="B17" s="8">
        <f>IFERROR(__xludf.DUMMYFUNCTION("""COMPUTED_VALUE"""),87.0)</f>
        <v>87</v>
      </c>
      <c r="C17" s="8" t="str">
        <f>IFERROR(__xludf.DUMMYFUNCTION("""COMPUTED_VALUE"""),"passive")</f>
        <v>passive</v>
      </c>
      <c r="D17" s="8">
        <f>IFERROR(__xludf.DUMMYFUNCTION("""COMPUTED_VALUE"""),0.0)</f>
        <v>0</v>
      </c>
      <c r="E17" s="8" t="str">
        <f>IFERROR(__xludf.DUMMYFUNCTION("""COMPUTED_VALUE"""),"head3")</f>
        <v>head3</v>
      </c>
      <c r="F17" s="8" t="str">
        <f>IFERROR(__xludf.DUMMYFUNCTION("""COMPUTED_VALUE"""),"")</f>
        <v/>
      </c>
    </row>
    <row r="18" ht="37.5" customHeight="1">
      <c r="A18" s="8" t="str">
        <f>IFERROR(__xludf.DUMMYFUNCTION("""COMPUTED_VALUE"""),"089_spider bite.anm2")</f>
        <v>089_spider bite.anm2</v>
      </c>
      <c r="B18" s="8">
        <f>IFERROR(__xludf.DUMMYFUNCTION("""COMPUTED_VALUE"""),89.0)</f>
        <v>89</v>
      </c>
      <c r="C18" s="8" t="str">
        <f>IFERROR(__xludf.DUMMYFUNCTION("""COMPUTED_VALUE"""),"passive")</f>
        <v>passive</v>
      </c>
      <c r="D18" s="8">
        <f>IFERROR(__xludf.DUMMYFUNCTION("""COMPUTED_VALUE"""),0.0)</f>
        <v>0</v>
      </c>
      <c r="E18" s="8" t="str">
        <f>IFERROR(__xludf.DUMMYFUNCTION("""COMPUTED_VALUE"""),"head3")</f>
        <v>head3</v>
      </c>
      <c r="F18" s="8" t="str">
        <f>IFERROR(__xludf.DUMMYFUNCTION("""COMPUTED_VALUE"""),"")</f>
        <v/>
      </c>
    </row>
    <row r="19" ht="37.5" customHeight="1">
      <c r="A19" s="8" t="str">
        <f>IFERROR(__xludf.DUMMYFUNCTION("""COMPUTED_VALUE"""),"093_the gamekid.anm2")</f>
        <v>093_the gamekid.anm2</v>
      </c>
      <c r="B19" s="8">
        <f>IFERROR(__xludf.DUMMYFUNCTION("""COMPUTED_VALUE"""),93.0)</f>
        <v>93</v>
      </c>
      <c r="C19" s="8" t="str">
        <f>IFERROR(__xludf.DUMMYFUNCTION("""COMPUTED_VALUE"""),"active")</f>
        <v>active</v>
      </c>
      <c r="D19" s="8">
        <f>IFERROR(__xludf.DUMMYFUNCTION("""COMPUTED_VALUE"""),100.0)</f>
        <v>100</v>
      </c>
      <c r="E19" s="8" t="str">
        <f>IFERROR(__xludf.DUMMYFUNCTION("""COMPUTED_VALUE"""),"head3")</f>
        <v>head3</v>
      </c>
      <c r="F19" s="8" t="str">
        <f>IFERROR(__xludf.DUMMYFUNCTION("""COMPUTED_VALUE"""),"")</f>
        <v/>
      </c>
    </row>
    <row r="20" ht="37.5" customHeight="1">
      <c r="A20" s="8" t="str">
        <f>IFERROR(__xludf.DUMMYFUNCTION("""COMPUTED_VALUE"""),"n_azazelsrage_1.anm2")</f>
        <v>n_azazelsrage_1.anm2</v>
      </c>
      <c r="B20" s="8">
        <f>IFERROR(__xludf.DUMMYFUNCTION("""COMPUTED_VALUE"""),96.0)</f>
        <v>96</v>
      </c>
      <c r="C20" s="8" t="str">
        <f>IFERROR(__xludf.DUMMYFUNCTION("""COMPUTED_VALUE"""),"none")</f>
        <v>none</v>
      </c>
      <c r="D20" s="8">
        <f>IFERROR(__xludf.DUMMYFUNCTION("""COMPUTED_VALUE"""),1.0)</f>
        <v>1</v>
      </c>
      <c r="E20" s="8" t="str">
        <f>IFERROR(__xludf.DUMMYFUNCTION("""COMPUTED_VALUE"""),"head3")</f>
        <v>head3</v>
      </c>
      <c r="F20" s="8" t="str">
        <f>IFERROR(__xludf.DUMMYFUNCTION("""COMPUTED_VALUE"""),"")</f>
        <v/>
      </c>
    </row>
    <row r="21" ht="37.5" customHeight="1">
      <c r="A21" s="8" t="str">
        <f>IFERROR(__xludf.DUMMYFUNCTION("""COMPUTED_VALUE"""),"n_azazelsrage_2.anm2")</f>
        <v>n_azazelsrage_2.anm2</v>
      </c>
      <c r="B21" s="8">
        <f>IFERROR(__xludf.DUMMYFUNCTION("""COMPUTED_VALUE"""),97.0)</f>
        <v>97</v>
      </c>
      <c r="C21" s="8" t="str">
        <f>IFERROR(__xludf.DUMMYFUNCTION("""COMPUTED_VALUE"""),"none")</f>
        <v>none</v>
      </c>
      <c r="D21" s="8">
        <f>IFERROR(__xludf.DUMMYFUNCTION("""COMPUTED_VALUE"""),1.0)</f>
        <v>1</v>
      </c>
      <c r="E21" s="8" t="str">
        <f>IFERROR(__xludf.DUMMYFUNCTION("""COMPUTED_VALUE"""),"head3")</f>
        <v>head3</v>
      </c>
      <c r="F21" s="8" t="str">
        <f>IFERROR(__xludf.DUMMYFUNCTION("""COMPUTED_VALUE"""),"")</f>
        <v/>
      </c>
    </row>
    <row r="22" ht="37.5" customHeight="1">
      <c r="A22" s="8" t="str">
        <f>IFERROR(__xludf.DUMMYFUNCTION("""COMPUTED_VALUE"""),"n_azazelsrage_3.anm2")</f>
        <v>n_azazelsrage_3.anm2</v>
      </c>
      <c r="B22" s="8">
        <f>IFERROR(__xludf.DUMMYFUNCTION("""COMPUTED_VALUE"""),98.0)</f>
        <v>98</v>
      </c>
      <c r="C22" s="8" t="str">
        <f>IFERROR(__xludf.DUMMYFUNCTION("""COMPUTED_VALUE"""),"none")</f>
        <v>none</v>
      </c>
      <c r="D22" s="8">
        <f>IFERROR(__xludf.DUMMYFUNCTION("""COMPUTED_VALUE"""),1.0)</f>
        <v>1</v>
      </c>
      <c r="E22" s="8" t="str">
        <f>IFERROR(__xludf.DUMMYFUNCTION("""COMPUTED_VALUE"""),"head3")</f>
        <v>head3</v>
      </c>
      <c r="F22" s="8" t="str">
        <f>IFERROR(__xludf.DUMMYFUNCTION("""COMPUTED_VALUE"""),"")</f>
        <v/>
      </c>
    </row>
    <row r="23" ht="37.5" customHeight="1">
      <c r="A23" s="8" t="str">
        <f>IFERROR(__xludf.DUMMYFUNCTION("""COMPUTED_VALUE"""),"n_azazelsrage_4.anm2")</f>
        <v>n_azazelsrage_4.anm2</v>
      </c>
      <c r="B23" s="8">
        <f>IFERROR(__xludf.DUMMYFUNCTION("""COMPUTED_VALUE"""),99.0)</f>
        <v>99</v>
      </c>
      <c r="C23" s="8" t="str">
        <f>IFERROR(__xludf.DUMMYFUNCTION("""COMPUTED_VALUE"""),"none")</f>
        <v>none</v>
      </c>
      <c r="D23" s="8">
        <f>IFERROR(__xludf.DUMMYFUNCTION("""COMPUTED_VALUE"""),1.0)</f>
        <v>1</v>
      </c>
      <c r="E23" s="8" t="str">
        <f>IFERROR(__xludf.DUMMYFUNCTION("""COMPUTED_VALUE"""),"head3")</f>
        <v>head3</v>
      </c>
      <c r="F23" s="8" t="str">
        <f>IFERROR(__xludf.DUMMYFUNCTION("""COMPUTED_VALUE"""),"")</f>
        <v/>
      </c>
    </row>
    <row r="24" ht="37.5" customHeight="1">
      <c r="A24" s="8" t="str">
        <f>IFERROR(__xludf.DUMMYFUNCTION("""COMPUTED_VALUE"""),"104_the parasite.anm2")</f>
        <v>104_the parasite.anm2</v>
      </c>
      <c r="B24" s="8">
        <f>IFERROR(__xludf.DUMMYFUNCTION("""COMPUTED_VALUE"""),104.0)</f>
        <v>104</v>
      </c>
      <c r="C24" s="8" t="str">
        <f>IFERROR(__xludf.DUMMYFUNCTION("""COMPUTED_VALUE"""),"passive")</f>
        <v>passive</v>
      </c>
      <c r="D24" s="8">
        <f>IFERROR(__xludf.DUMMYFUNCTION("""COMPUTED_VALUE"""),0.0)</f>
        <v>0</v>
      </c>
      <c r="E24" s="8" t="str">
        <f>IFERROR(__xludf.DUMMYFUNCTION("""COMPUTED_VALUE"""),"head3")</f>
        <v>head3</v>
      </c>
      <c r="F24" s="8" t="str">
        <f>IFERROR(__xludf.DUMMYFUNCTION("""COMPUTED_VALUE"""),"")</f>
        <v/>
      </c>
    </row>
    <row r="25" ht="37.5" customHeight="1">
      <c r="A25" s="8" t="str">
        <f>IFERROR(__xludf.DUMMYFUNCTION("""COMPUTED_VALUE"""),"109_money  power.anm2")</f>
        <v>109_money  power.anm2</v>
      </c>
      <c r="B25" s="8">
        <f>IFERROR(__xludf.DUMMYFUNCTION("""COMPUTED_VALUE"""),109.0)</f>
        <v>109</v>
      </c>
      <c r="C25" s="8" t="str">
        <f>IFERROR(__xludf.DUMMYFUNCTION("""COMPUTED_VALUE"""),"passive")</f>
        <v>passive</v>
      </c>
      <c r="D25" s="8">
        <f>IFERROR(__xludf.DUMMYFUNCTION("""COMPUTED_VALUE"""),0.0)</f>
        <v>0</v>
      </c>
      <c r="E25" s="8" t="str">
        <f>IFERROR(__xludf.DUMMYFUNCTION("""COMPUTED_VALUE"""),"head3")</f>
        <v>head3</v>
      </c>
      <c r="F25" s="8" t="str">
        <f>IFERROR(__xludf.DUMMYFUNCTION("""COMPUTED_VALUE"""),"")</f>
        <v/>
      </c>
    </row>
    <row r="26" ht="37.5" customHeight="1">
      <c r="A26" s="8" t="str">
        <f>IFERROR(__xludf.DUMMYFUNCTION("""COMPUTED_VALUE"""),"n_bloody_babylon.anm2")</f>
        <v>n_bloody_babylon.anm2</v>
      </c>
      <c r="B26" s="8">
        <f>IFERROR(__xludf.DUMMYFUNCTION("""COMPUTED_VALUE"""),110.0)</f>
        <v>110</v>
      </c>
      <c r="C26" s="8" t="str">
        <f>IFERROR(__xludf.DUMMYFUNCTION("""COMPUTED_VALUE"""),"none")</f>
        <v>none</v>
      </c>
      <c r="D26" s="8">
        <f>IFERROR(__xludf.DUMMYFUNCTION("""COMPUTED_VALUE"""),99.0)</f>
        <v>99</v>
      </c>
      <c r="E26" s="8" t="str">
        <f>IFERROR(__xludf.DUMMYFUNCTION("""COMPUTED_VALUE"""),"head3")</f>
        <v>head3</v>
      </c>
      <c r="F26" s="8" t="str">
        <f>IFERROR(__xludf.DUMMYFUNCTION("""COMPUTED_VALUE"""),"")</f>
        <v/>
      </c>
    </row>
    <row r="27" ht="37.5" customHeight="1">
      <c r="A27" s="8" t="str">
        <f>IFERROR(__xludf.DUMMYFUNCTION("""COMPUTED_VALUE"""),"116_9 volt.anm2")</f>
        <v>116_9 volt.anm2</v>
      </c>
      <c r="B27" s="8">
        <f>IFERROR(__xludf.DUMMYFUNCTION("""COMPUTED_VALUE"""),116.0)</f>
        <v>116</v>
      </c>
      <c r="C27" s="8" t="str">
        <f>IFERROR(__xludf.DUMMYFUNCTION("""COMPUTED_VALUE"""),"passive")</f>
        <v>passive</v>
      </c>
      <c r="D27" s="8">
        <f>IFERROR(__xludf.DUMMYFUNCTION("""COMPUTED_VALUE"""),0.0)</f>
        <v>0</v>
      </c>
      <c r="E27" s="8" t="str">
        <f>IFERROR(__xludf.DUMMYFUNCTION("""COMPUTED_VALUE"""),"head3")</f>
        <v>head3</v>
      </c>
      <c r="F27" s="8" t="str">
        <f>IFERROR(__xludf.DUMMYFUNCTION("""COMPUTED_VALUE"""),"")</f>
        <v/>
      </c>
    </row>
    <row r="28" ht="37.5" customHeight="1">
      <c r="A28" s="8" t="str">
        <f>IFERROR(__xludf.DUMMYFUNCTION("""COMPUTED_VALUE"""),"122_whore of babylon.anm2")</f>
        <v>122_whore of babylon.anm2</v>
      </c>
      <c r="B28" s="8">
        <f>IFERROR(__xludf.DUMMYFUNCTION("""COMPUTED_VALUE"""),122.0)</f>
        <v>122</v>
      </c>
      <c r="C28" s="8" t="str">
        <f>IFERROR(__xludf.DUMMYFUNCTION("""COMPUTED_VALUE"""),"passive")</f>
        <v>passive</v>
      </c>
      <c r="D28" s="8">
        <f>IFERROR(__xludf.DUMMYFUNCTION("""COMPUTED_VALUE"""),1.0)</f>
        <v>1</v>
      </c>
      <c r="E28" s="8" t="str">
        <f>IFERROR(__xludf.DUMMYFUNCTION("""COMPUTED_VALUE"""),"head3")</f>
        <v>head3</v>
      </c>
      <c r="F28" s="8" t="str">
        <f>IFERROR(__xludf.DUMMYFUNCTION("""COMPUTED_VALUE"""),"")</f>
        <v/>
      </c>
    </row>
    <row r="29" ht="37.5" customHeight="1">
      <c r="A29" s="8" t="str">
        <f>IFERROR(__xludf.DUMMYFUNCTION("""COMPUTED_VALUE"""),"176_stem cells.anm2")</f>
        <v>176_stem cells.anm2</v>
      </c>
      <c r="B29" s="8">
        <f>IFERROR(__xludf.DUMMYFUNCTION("""COMPUTED_VALUE"""),176.0)</f>
        <v>176</v>
      </c>
      <c r="C29" s="8" t="str">
        <f>IFERROR(__xludf.DUMMYFUNCTION("""COMPUTED_VALUE"""),"passive")</f>
        <v>passive</v>
      </c>
      <c r="D29" s="8">
        <f>IFERROR(__xludf.DUMMYFUNCTION("""COMPUTED_VALUE"""),0.0)</f>
        <v>0</v>
      </c>
      <c r="E29" s="8" t="str">
        <f>IFERROR(__xludf.DUMMYFUNCTION("""COMPUTED_VALUE"""),"head3")</f>
        <v>head3</v>
      </c>
      <c r="F29" s="8" t="str">
        <f>IFERROR(__xludf.DUMMYFUNCTION("""COMPUTED_VALUE"""),"")</f>
        <v/>
      </c>
    </row>
    <row r="30" ht="37.5" customHeight="1">
      <c r="A30" s="8" t="str">
        <f>IFERROR(__xludf.DUMMYFUNCTION("""COMPUTED_VALUE"""),"192_telepathy for dummies.anm2")</f>
        <v>192_telepathy for dummies.anm2</v>
      </c>
      <c r="B30" s="8">
        <f>IFERROR(__xludf.DUMMYFUNCTION("""COMPUTED_VALUE"""),192.0)</f>
        <v>192</v>
      </c>
      <c r="C30" s="8" t="str">
        <f>IFERROR(__xludf.DUMMYFUNCTION("""COMPUTED_VALUE"""),"active")</f>
        <v>active</v>
      </c>
      <c r="D30" s="8">
        <f>IFERROR(__xludf.DUMMYFUNCTION("""COMPUTED_VALUE"""),0.0)</f>
        <v>0</v>
      </c>
      <c r="E30" s="8" t="str">
        <f>IFERROR(__xludf.DUMMYFUNCTION("""COMPUTED_VALUE"""),"head3")</f>
        <v>head3</v>
      </c>
      <c r="F30" s="8" t="str">
        <f>IFERROR(__xludf.DUMMYFUNCTION("""COMPUTED_VALUE"""),"")</f>
        <v/>
      </c>
    </row>
    <row r="31" ht="37.5" customHeight="1">
      <c r="A31" s="8" t="str">
        <f>IFERROR(__xludf.DUMMYFUNCTION("""COMPUTED_VALUE"""),"194_magic 8 ball.anm2")</f>
        <v>194_magic 8 ball.anm2</v>
      </c>
      <c r="B31" s="8">
        <f>IFERROR(__xludf.DUMMYFUNCTION("""COMPUTED_VALUE"""),194.0)</f>
        <v>194</v>
      </c>
      <c r="C31" s="8" t="str">
        <f>IFERROR(__xludf.DUMMYFUNCTION("""COMPUTED_VALUE"""),"passive")</f>
        <v>passive</v>
      </c>
      <c r="D31" s="8">
        <f>IFERROR(__xludf.DUMMYFUNCTION("""COMPUTED_VALUE"""),0.0)</f>
        <v>0</v>
      </c>
      <c r="E31" s="8" t="str">
        <f>IFERROR(__xludf.DUMMYFUNCTION("""COMPUTED_VALUE"""),"head3")</f>
        <v>head3</v>
      </c>
      <c r="F31" s="8" t="str">
        <f>IFERROR(__xludf.DUMMYFUNCTION("""COMPUTED_VALUE"""),"")</f>
        <v/>
      </c>
    </row>
    <row r="32" ht="37.5" customHeight="1">
      <c r="A32" s="8" t="str">
        <f>IFERROR(__xludf.DUMMYFUNCTION("""COMPUTED_VALUE"""),"211_spiderbaby.anm2")</f>
        <v>211_spiderbaby.anm2</v>
      </c>
      <c r="B32" s="8">
        <f>IFERROR(__xludf.DUMMYFUNCTION("""COMPUTED_VALUE"""),211.0)</f>
        <v>211</v>
      </c>
      <c r="C32" s="8" t="str">
        <f>IFERROR(__xludf.DUMMYFUNCTION("""COMPUTED_VALUE"""),"passive")</f>
        <v>passive</v>
      </c>
      <c r="D32" s="8">
        <f>IFERROR(__xludf.DUMMYFUNCTION("""COMPUTED_VALUE"""),0.0)</f>
        <v>0</v>
      </c>
      <c r="E32" s="8" t="str">
        <f>IFERROR(__xludf.DUMMYFUNCTION("""COMPUTED_VALUE"""),"head3")</f>
        <v>head3</v>
      </c>
      <c r="F32" s="8" t="str">
        <f>IFERROR(__xludf.DUMMYFUNCTION("""COMPUTED_VALUE"""),"")</f>
        <v/>
      </c>
    </row>
    <row r="33" ht="37.5" customHeight="1">
      <c r="A33" s="8" t="str">
        <f>IFERROR(__xludf.DUMMYFUNCTION("""COMPUTED_VALUE"""),"219_oldbandage.anm2")</f>
        <v>219_oldbandage.anm2</v>
      </c>
      <c r="B33" s="8">
        <f>IFERROR(__xludf.DUMMYFUNCTION("""COMPUTED_VALUE"""),219.0)</f>
        <v>219</v>
      </c>
      <c r="C33" s="8" t="str">
        <f>IFERROR(__xludf.DUMMYFUNCTION("""COMPUTED_VALUE"""),"passive")</f>
        <v>passive</v>
      </c>
      <c r="D33" s="8">
        <f>IFERROR(__xludf.DUMMYFUNCTION("""COMPUTED_VALUE"""),0.0)</f>
        <v>0</v>
      </c>
      <c r="E33" s="8" t="str">
        <f>IFERROR(__xludf.DUMMYFUNCTION("""COMPUTED_VALUE"""),"head3")</f>
        <v>head3</v>
      </c>
      <c r="F33" s="8" t="str">
        <f>IFERROR(__xludf.DUMMYFUNCTION("""COMPUTED_VALUE"""),"")</f>
        <v/>
      </c>
    </row>
    <row r="34" ht="37.5" customHeight="1">
      <c r="A34" s="8" t="str">
        <f>IFERROR(__xludf.DUMMYFUNCTION("""COMPUTED_VALUE"""),"226_blacklotus.anm2")</f>
        <v>226_blacklotus.anm2</v>
      </c>
      <c r="B34" s="8">
        <f>IFERROR(__xludf.DUMMYFUNCTION("""COMPUTED_VALUE"""),226.0)</f>
        <v>226</v>
      </c>
      <c r="C34" s="8" t="str">
        <f>IFERROR(__xludf.DUMMYFUNCTION("""COMPUTED_VALUE"""),"passive")</f>
        <v>passive</v>
      </c>
      <c r="D34" s="8">
        <f>IFERROR(__xludf.DUMMYFUNCTION("""COMPUTED_VALUE"""),0.0)</f>
        <v>0</v>
      </c>
      <c r="E34" s="8" t="str">
        <f>IFERROR(__xludf.DUMMYFUNCTION("""COMPUTED_VALUE"""),"head3")</f>
        <v>head3</v>
      </c>
      <c r="F34" s="8" t="str">
        <f>IFERROR(__xludf.DUMMYFUNCTION("""COMPUTED_VALUE"""),"")</f>
        <v/>
      </c>
    </row>
    <row r="35" ht="37.5" customHeight="1">
      <c r="A35" s="8" t="str">
        <f>IFERROR(__xludf.DUMMYFUNCTION("""COMPUTED_VALUE"""),"233_tiny planet.anm2")</f>
        <v>233_tiny planet.anm2</v>
      </c>
      <c r="B35" s="8">
        <f>IFERROR(__xludf.DUMMYFUNCTION("""COMPUTED_VALUE"""),233.0)</f>
        <v>233</v>
      </c>
      <c r="C35" s="8" t="str">
        <f>IFERROR(__xludf.DUMMYFUNCTION("""COMPUTED_VALUE"""),"passive")</f>
        <v>passive</v>
      </c>
      <c r="D35" s="8">
        <f>IFERROR(__xludf.DUMMYFUNCTION("""COMPUTED_VALUE"""),0.0)</f>
        <v>0</v>
      </c>
      <c r="E35" s="8" t="str">
        <f>IFERROR(__xludf.DUMMYFUNCTION("""COMPUTED_VALUE"""),"head3")</f>
        <v>head3</v>
      </c>
      <c r="F35" s="8" t="str">
        <f>IFERROR(__xludf.DUMMYFUNCTION("""COMPUTED_VALUE"""),"")</f>
        <v/>
      </c>
    </row>
    <row r="36" ht="37.5" customHeight="1">
      <c r="A36" s="8" t="str">
        <f>IFERROR(__xludf.DUMMYFUNCTION("""COMPUTED_VALUE"""),"242_infamy.anm2")</f>
        <v>242_infamy.anm2</v>
      </c>
      <c r="B36" s="8">
        <f>IFERROR(__xludf.DUMMYFUNCTION("""COMPUTED_VALUE"""),242.0)</f>
        <v>242</v>
      </c>
      <c r="C36" s="8" t="str">
        <f>IFERROR(__xludf.DUMMYFUNCTION("""COMPUTED_VALUE"""),"passive")</f>
        <v>passive</v>
      </c>
      <c r="D36" s="8">
        <f>IFERROR(__xludf.DUMMYFUNCTION("""COMPUTED_VALUE"""),0.0)</f>
        <v>0</v>
      </c>
      <c r="E36" s="8" t="str">
        <f>IFERROR(__xludf.DUMMYFUNCTION("""COMPUTED_VALUE"""),"head3")</f>
        <v>head3</v>
      </c>
      <c r="F36" s="8" t="str">
        <f>IFERROR(__xludf.DUMMYFUNCTION("""COMPUTED_VALUE"""),"")</f>
        <v/>
      </c>
    </row>
    <row r="37" ht="37.5" customHeight="1">
      <c r="A37" s="8" t="str">
        <f>IFERROR(__xludf.DUMMYFUNCTION("""COMPUTED_VALUE"""),"252_littlebaggy.anm2")</f>
        <v>252_littlebaggy.anm2</v>
      </c>
      <c r="B37" s="8">
        <f>IFERROR(__xludf.DUMMYFUNCTION("""COMPUTED_VALUE"""),252.0)</f>
        <v>252</v>
      </c>
      <c r="C37" s="8" t="str">
        <f>IFERROR(__xludf.DUMMYFUNCTION("""COMPUTED_VALUE"""),"passive")</f>
        <v>passive</v>
      </c>
      <c r="D37" s="8">
        <f>IFERROR(__xludf.DUMMYFUNCTION("""COMPUTED_VALUE"""),0.0)</f>
        <v>0</v>
      </c>
      <c r="E37" s="8" t="str">
        <f>IFERROR(__xludf.DUMMYFUNCTION("""COMPUTED_VALUE"""),"head3")</f>
        <v>head3</v>
      </c>
      <c r="F37" s="8" t="str">
        <f>IFERROR(__xludf.DUMMYFUNCTION("""COMPUTED_VALUE"""),"")</f>
        <v/>
      </c>
    </row>
    <row r="38" ht="37.5" customHeight="1">
      <c r="A38" s="8" t="str">
        <f>IFERROR(__xludf.DUMMYFUNCTION("""COMPUTED_VALUE"""),"257_firemind.anm2")</f>
        <v>257_firemind.anm2</v>
      </c>
      <c r="B38" s="8">
        <f>IFERROR(__xludf.DUMMYFUNCTION("""COMPUTED_VALUE"""),257.0)</f>
        <v>257</v>
      </c>
      <c r="C38" s="8" t="str">
        <f>IFERROR(__xludf.DUMMYFUNCTION("""COMPUTED_VALUE"""),"passive")</f>
        <v>passive</v>
      </c>
      <c r="D38" s="8">
        <f>IFERROR(__xludf.DUMMYFUNCTION("""COMPUTED_VALUE"""),0.0)</f>
        <v>0</v>
      </c>
      <c r="E38" s="8" t="str">
        <f>IFERROR(__xludf.DUMMYFUNCTION("""COMPUTED_VALUE"""),"head3")</f>
        <v>head3</v>
      </c>
      <c r="F38" s="8" t="str">
        <f>IFERROR(__xludf.DUMMYFUNCTION("""COMPUTED_VALUE"""),"")</f>
        <v/>
      </c>
    </row>
    <row r="39" ht="37.5" customHeight="1">
      <c r="A39" s="8" t="str">
        <f>IFERROR(__xludf.DUMMYFUNCTION("""COMPUTED_VALUE"""),"260_blackcandle.anm2")</f>
        <v>260_blackcandle.anm2</v>
      </c>
      <c r="B39" s="8">
        <f>IFERROR(__xludf.DUMMYFUNCTION("""COMPUTED_VALUE"""),260.0)</f>
        <v>260</v>
      </c>
      <c r="C39" s="8" t="str">
        <f>IFERROR(__xludf.DUMMYFUNCTION("""COMPUTED_VALUE"""),"passive")</f>
        <v>passive</v>
      </c>
      <c r="D39" s="8">
        <f>IFERROR(__xludf.DUMMYFUNCTION("""COMPUTED_VALUE"""),0.0)</f>
        <v>0</v>
      </c>
      <c r="E39" s="8" t="str">
        <f>IFERROR(__xludf.DUMMYFUNCTION("""COMPUTED_VALUE"""),"head3")</f>
        <v>head3</v>
      </c>
      <c r="F39" s="8" t="str">
        <f>IFERROR(__xludf.DUMMYFUNCTION("""COMPUTED_VALUE"""),"")</f>
        <v/>
      </c>
    </row>
    <row r="40" ht="37.5" customHeight="1">
      <c r="A40" s="8" t="str">
        <f>IFERROR(__xludf.DUMMYFUNCTION("""COMPUTED_VALUE"""),"312_maggysbow.anm2")</f>
        <v>312_maggysbow.anm2</v>
      </c>
      <c r="B40" s="8">
        <f>IFERROR(__xludf.DUMMYFUNCTION("""COMPUTED_VALUE"""),312.0)</f>
        <v>312</v>
      </c>
      <c r="C40" s="8" t="str">
        <f>IFERROR(__xludf.DUMMYFUNCTION("""COMPUTED_VALUE"""),"passive")</f>
        <v>passive</v>
      </c>
      <c r="D40" s="8">
        <f>IFERROR(__xludf.DUMMYFUNCTION("""COMPUTED_VALUE"""),0.0)</f>
        <v>0</v>
      </c>
      <c r="E40" s="8" t="str">
        <f>IFERROR(__xludf.DUMMYFUNCTION("""COMPUTED_VALUE"""),"head3")</f>
        <v>head3</v>
      </c>
      <c r="F40" s="8" t="str">
        <f>IFERROR(__xludf.DUMMYFUNCTION("""COMPUTED_VALUE"""),"")</f>
        <v/>
      </c>
    </row>
    <row r="41" ht="37.5" customHeight="1">
      <c r="A41" s="8" t="str">
        <f>IFERROR(__xludf.DUMMYFUNCTION("""COMPUTED_VALUE"""),"315_strangeattractor.anm2")</f>
        <v>315_strangeattractor.anm2</v>
      </c>
      <c r="B41" s="8">
        <f>IFERROR(__xludf.DUMMYFUNCTION("""COMPUTED_VALUE"""),315.0)</f>
        <v>315</v>
      </c>
      <c r="C41" s="8" t="str">
        <f>IFERROR(__xludf.DUMMYFUNCTION("""COMPUTED_VALUE"""),"passive")</f>
        <v>passive</v>
      </c>
      <c r="D41" s="8">
        <f>IFERROR(__xludf.DUMMYFUNCTION("""COMPUTED_VALUE"""),0.0)</f>
        <v>0</v>
      </c>
      <c r="E41" s="8" t="str">
        <f>IFERROR(__xludf.DUMMYFUNCTION("""COMPUTED_VALUE"""),"head3")</f>
        <v>head3</v>
      </c>
      <c r="F41" s="8" t="str">
        <f>IFERROR(__xludf.DUMMYFUNCTION("""COMPUTED_VALUE"""),"")</f>
        <v/>
      </c>
    </row>
    <row r="42" ht="37.5" customHeight="1">
      <c r="A42" s="8" t="str">
        <f>IFERROR(__xludf.DUMMYFUNCTION("""COMPUTED_VALUE"""),"329_theludovicotreatment.anm2")</f>
        <v>329_theludovicotreatment.anm2</v>
      </c>
      <c r="B42" s="8">
        <f>IFERROR(__xludf.DUMMYFUNCTION("""COMPUTED_VALUE"""),329.0)</f>
        <v>329</v>
      </c>
      <c r="C42" s="8" t="str">
        <f>IFERROR(__xludf.DUMMYFUNCTION("""COMPUTED_VALUE"""),"passive")</f>
        <v>passive</v>
      </c>
      <c r="D42" s="8">
        <f>IFERROR(__xludf.DUMMYFUNCTION("""COMPUTED_VALUE"""),0.0)</f>
        <v>0</v>
      </c>
      <c r="E42" s="8" t="str">
        <f>IFERROR(__xludf.DUMMYFUNCTION("""COMPUTED_VALUE"""),"head3")</f>
        <v>head3</v>
      </c>
      <c r="F42" s="8" t="str">
        <f>IFERROR(__xludf.DUMMYFUNCTION("""COMPUTED_VALUE"""),"")</f>
        <v/>
      </c>
    </row>
    <row r="43" ht="37.5" customHeight="1">
      <c r="A43" s="8" t="str">
        <f>IFERROR(__xludf.DUMMYFUNCTION("""COMPUTED_VALUE"""),"353_bomberboy.anm2")</f>
        <v>353_bomberboy.anm2</v>
      </c>
      <c r="B43" s="8">
        <f>IFERROR(__xludf.DUMMYFUNCTION("""COMPUTED_VALUE"""),353.0)</f>
        <v>353</v>
      </c>
      <c r="C43" s="8" t="str">
        <f>IFERROR(__xludf.DUMMYFUNCTION("""COMPUTED_VALUE"""),"passive")</f>
        <v>passive</v>
      </c>
      <c r="D43" s="8">
        <f>IFERROR(__xludf.DUMMYFUNCTION("""COMPUTED_VALUE"""),0.0)</f>
        <v>0</v>
      </c>
      <c r="E43" s="8" t="str">
        <f>IFERROR(__xludf.DUMMYFUNCTION("""COMPUTED_VALUE"""),"head3")</f>
        <v>head3</v>
      </c>
      <c r="F43" s="8" t="str">
        <f>IFERROR(__xludf.DUMMYFUNCTION("""COMPUTED_VALUE"""),"")</f>
        <v/>
      </c>
    </row>
    <row r="44" ht="37.5" customHeight="1">
      <c r="A44" s="8" t="str">
        <f>IFERROR(__xludf.DUMMYFUNCTION("""COMPUTED_VALUE"""),"449_metalplate.anm2")</f>
        <v>449_metalplate.anm2</v>
      </c>
      <c r="B44" s="8">
        <f>IFERROR(__xludf.DUMMYFUNCTION("""COMPUTED_VALUE"""),449.0)</f>
        <v>449</v>
      </c>
      <c r="C44" s="8" t="str">
        <f>IFERROR(__xludf.DUMMYFUNCTION("""COMPUTED_VALUE"""),"passive")</f>
        <v>passive</v>
      </c>
      <c r="D44" s="8">
        <f>IFERROR(__xludf.DUMMYFUNCTION("""COMPUTED_VALUE"""),0.0)</f>
        <v>0</v>
      </c>
      <c r="E44" s="8" t="str">
        <f>IFERROR(__xludf.DUMMYFUNCTION("""COMPUTED_VALUE"""),"head3")</f>
        <v>head3</v>
      </c>
      <c r="F44" s="8" t="str">
        <f>IFERROR(__xludf.DUMMYFUNCTION("""COMPUTED_VALUE"""),"")</f>
        <v/>
      </c>
    </row>
    <row r="45" ht="37.5" customHeight="1">
      <c r="A45" s="8" t="str">
        <f>IFERROR(__xludf.DUMMYFUNCTION("""COMPUTED_VALUE"""),"461_parasitoid.anm2")</f>
        <v>461_parasitoid.anm2</v>
      </c>
      <c r="B45" s="8">
        <f>IFERROR(__xludf.DUMMYFUNCTION("""COMPUTED_VALUE"""),461.0)</f>
        <v>461</v>
      </c>
      <c r="C45" s="8" t="str">
        <f>IFERROR(__xludf.DUMMYFUNCTION("""COMPUTED_VALUE"""),"passive")</f>
        <v>passive</v>
      </c>
      <c r="D45" s="8">
        <f>IFERROR(__xludf.DUMMYFUNCTION("""COMPUTED_VALUE"""),0.0)</f>
        <v>0</v>
      </c>
      <c r="E45" s="8" t="str">
        <f>IFERROR(__xludf.DUMMYFUNCTION("""COMPUTED_VALUE"""),"head3")</f>
        <v>head3</v>
      </c>
      <c r="F45" s="8" t="str">
        <f>IFERROR(__xludf.DUMMYFUNCTION("""COMPUTED_VALUE"""),"")</f>
        <v/>
      </c>
    </row>
    <row r="46" ht="37.5" customHeight="1">
      <c r="A46" s="8" t="str">
        <f>IFERROR(__xludf.DUMMYFUNCTION("""COMPUTED_VALUE"""),"465_analogstick.anm2")</f>
        <v>465_analogstick.anm2</v>
      </c>
      <c r="B46" s="8">
        <f>IFERROR(__xludf.DUMMYFUNCTION("""COMPUTED_VALUE"""),465.0)</f>
        <v>465</v>
      </c>
      <c r="C46" s="8" t="str">
        <f>IFERROR(__xludf.DUMMYFUNCTION("""COMPUTED_VALUE"""),"passive")</f>
        <v>passive</v>
      </c>
      <c r="D46" s="8">
        <f>IFERROR(__xludf.DUMMYFUNCTION("""COMPUTED_VALUE"""),0.0)</f>
        <v>0</v>
      </c>
      <c r="E46" s="8" t="str">
        <f>IFERROR(__xludf.DUMMYFUNCTION("""COMPUTED_VALUE"""),"head3")</f>
        <v>head3</v>
      </c>
      <c r="F46" s="8" t="str">
        <f>IFERROR(__xludf.DUMMYFUNCTION("""COMPUTED_VALUE"""),"")</f>
        <v/>
      </c>
    </row>
    <row r="47" ht="37.5" customHeight="1">
      <c r="A47" s="8" t="str">
        <f>IFERROR(__xludf.DUMMYFUNCTION("""COMPUTED_VALUE"""),"466_contagion.anm2")</f>
        <v>466_contagion.anm2</v>
      </c>
      <c r="B47" s="8">
        <f>IFERROR(__xludf.DUMMYFUNCTION("""COMPUTED_VALUE"""),466.0)</f>
        <v>466</v>
      </c>
      <c r="C47" s="8" t="str">
        <f>IFERROR(__xludf.DUMMYFUNCTION("""COMPUTED_VALUE"""),"passive")</f>
        <v>passive</v>
      </c>
      <c r="D47" s="8">
        <f>IFERROR(__xludf.DUMMYFUNCTION("""COMPUTED_VALUE"""),0.0)</f>
        <v>0</v>
      </c>
      <c r="E47" s="8" t="str">
        <f>IFERROR(__xludf.DUMMYFUNCTION("""COMPUTED_VALUE"""),"head3")</f>
        <v>head3</v>
      </c>
      <c r="F47" s="8" t="str">
        <f>IFERROR(__xludf.DUMMYFUNCTION("""COMPUTED_VALUE"""),"")</f>
        <v/>
      </c>
    </row>
    <row r="48" ht="37.5" customHeight="1">
      <c r="A48" s="8" t="str">
        <f>IFERROR(__xludf.DUMMYFUNCTION("""COMPUTED_VALUE"""),"503_littlehorn.anm2")</f>
        <v>503_littlehorn.anm2</v>
      </c>
      <c r="B48" s="8">
        <f>IFERROR(__xludf.DUMMYFUNCTION("""COMPUTED_VALUE"""),503.0)</f>
        <v>503</v>
      </c>
      <c r="C48" s="8" t="str">
        <f>IFERROR(__xludf.DUMMYFUNCTION("""COMPUTED_VALUE"""),"passive")</f>
        <v>passive</v>
      </c>
      <c r="D48" s="8">
        <f>IFERROR(__xludf.DUMMYFUNCTION("""COMPUTED_VALUE"""),0.0)</f>
        <v>0</v>
      </c>
      <c r="E48" s="8" t="str">
        <f>IFERROR(__xludf.DUMMYFUNCTION("""COMPUTED_VALUE"""),"head3")</f>
        <v>head3</v>
      </c>
      <c r="F48" s="8" t="str">
        <f>IFERROR(__xludf.DUMMYFUNCTION("""COMPUTED_VALUE"""),"")</f>
        <v/>
      </c>
    </row>
    <row r="49" ht="37.5" customHeight="1">
      <c r="A49" s="8" t="str">
        <f>IFERROR(__xludf.DUMMYFUNCTION("""COMPUTED_VALUE"""),"540_flatstone.anm2")</f>
        <v>540_flatstone.anm2</v>
      </c>
      <c r="B49" s="8">
        <f>IFERROR(__xludf.DUMMYFUNCTION("""COMPUTED_VALUE"""),540.0)</f>
        <v>540</v>
      </c>
      <c r="C49" s="8" t="str">
        <f>IFERROR(__xludf.DUMMYFUNCTION("""COMPUTED_VALUE"""),"passive")</f>
        <v>passive</v>
      </c>
      <c r="D49" s="8">
        <f>IFERROR(__xludf.DUMMYFUNCTION("""COMPUTED_VALUE"""),0.0)</f>
        <v>0</v>
      </c>
      <c r="E49" s="8" t="str">
        <f>IFERROR(__xludf.DUMMYFUNCTION("""COMPUTED_VALUE"""),"head3")</f>
        <v>head3</v>
      </c>
      <c r="F49" s="8" t="str">
        <f>IFERROR(__xludf.DUMMYFUNCTION("""COMPUTED_VALUE"""),"")</f>
        <v/>
      </c>
    </row>
    <row r="50" ht="37.5" customHeight="1">
      <c r="A50" s="8" t="str">
        <f>IFERROR(__xludf.DUMMYFUNCTION("""COMPUTED_VALUE"""),"064x_lodestone.anm2")</f>
        <v>064x_lodestone.anm2</v>
      </c>
      <c r="B50" s="8">
        <f>IFERROR(__xludf.DUMMYFUNCTION("""COMPUTED_VALUE"""),617.0)</f>
        <v>617</v>
      </c>
      <c r="C50" s="8" t="str">
        <f>IFERROR(__xludf.DUMMYFUNCTION("""COMPUTED_VALUE"""),"passive")</f>
        <v>passive</v>
      </c>
      <c r="D50" s="8">
        <f>IFERROR(__xludf.DUMMYFUNCTION("""COMPUTED_VALUE"""),0.0)</f>
        <v>0</v>
      </c>
      <c r="E50" s="8" t="str">
        <f>IFERROR(__xludf.DUMMYFUNCTION("""COMPUTED_VALUE"""),"head3")</f>
        <v>head3</v>
      </c>
      <c r="F50" s="8" t="str">
        <f>IFERROR(__xludf.DUMMYFUNCTION("""COMPUTED_VALUE"""),"")</f>
        <v/>
      </c>
    </row>
    <row r="51" ht="37.5" customHeight="1">
      <c r="A51" s="8" t="str">
        <f>IFERROR(__xludf.DUMMYFUNCTION("""COMPUTED_VALUE"""),"660_cardreading.anm2")</f>
        <v>660_cardreading.anm2</v>
      </c>
      <c r="B51" s="8">
        <f>IFERROR(__xludf.DUMMYFUNCTION("""COMPUTED_VALUE"""),660.0)</f>
        <v>660</v>
      </c>
      <c r="C51" s="8" t="str">
        <f>IFERROR(__xludf.DUMMYFUNCTION("""COMPUTED_VALUE"""),"passive")</f>
        <v>passive</v>
      </c>
      <c r="D51" s="8">
        <f>IFERROR(__xludf.DUMMYFUNCTION("""COMPUTED_VALUE"""),0.0)</f>
        <v>0</v>
      </c>
      <c r="E51" s="8" t="str">
        <f>IFERROR(__xludf.DUMMYFUNCTION("""COMPUTED_VALUE"""),"head3")</f>
        <v>head3</v>
      </c>
      <c r="F51" s="8" t="str">
        <f>IFERROR(__xludf.DUMMYFUNCTION("""COMPUTED_VALUE"""),"")</f>
        <v/>
      </c>
    </row>
    <row r="52" ht="37.5" customHeight="1">
      <c r="A52" s="8" t="str">
        <f>IFERROR(__xludf.DUMMYFUNCTION("""COMPUTED_VALUE"""),"699_azazelsrage.anm2")</f>
        <v>699_azazelsrage.anm2</v>
      </c>
      <c r="B52" s="8">
        <f>IFERROR(__xludf.DUMMYFUNCTION("""COMPUTED_VALUE"""),699.0)</f>
        <v>699</v>
      </c>
      <c r="C52" s="8" t="str">
        <f>IFERROR(__xludf.DUMMYFUNCTION("""COMPUTED_VALUE"""),"passive")</f>
        <v>passive</v>
      </c>
      <c r="D52" s="8">
        <f>IFERROR(__xludf.DUMMYFUNCTION("""COMPUTED_VALUE"""),1.0)</f>
        <v>1</v>
      </c>
      <c r="E52" s="8" t="str">
        <f>IFERROR(__xludf.DUMMYFUNCTION("""COMPUTED_VALUE"""),"head3")</f>
        <v>head3</v>
      </c>
      <c r="F52" s="8" t="str">
        <f>IFERROR(__xludf.DUMMYFUNCTION("""COMPUTED_VALUE"""),"")</f>
        <v/>
      </c>
    </row>
  </sheetData>
  <customSheetViews>
    <customSheetView guid="{B07D8034-17A6-4979-AD0A-EDA5D4406C74}" filter="1" showAutoFilter="1">
      <autoFilter ref="$A$1:$F$42"/>
    </customSheetView>
  </customSheetView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5.13"/>
    <col customWidth="1" min="3" max="3" width="7.25"/>
    <col customWidth="1" min="4" max="4" width="9.38"/>
    <col customWidth="1" min="5" max="5" width="8.0"/>
    <col customWidth="1" min="6" max="6" width="25.13"/>
  </cols>
  <sheetData>
    <row r="1" ht="37.5" customHeight="1">
      <c r="A1" s="10" t="s">
        <v>0</v>
      </c>
      <c r="B1" s="10" t="s">
        <v>1</v>
      </c>
      <c r="C1" s="10" t="s">
        <v>2</v>
      </c>
      <c r="D1" s="10" t="s">
        <v>3</v>
      </c>
      <c r="E1" s="10" t="s">
        <v>4</v>
      </c>
      <c r="F1" s="10" t="s">
        <v>5</v>
      </c>
    </row>
    <row r="2" ht="37.5" customHeight="1">
      <c r="A2" s="8" t="str">
        <f>IFERROR(__xludf.DUMMYFUNCTION("FILTER('All Costumes'!A2:F645, 'All Costumes'!E2:E645=""head4"")"),"210_gnawedleaf_statue.anm2")</f>
        <v>210_gnawedleaf_statue.anm2</v>
      </c>
      <c r="B2" s="8">
        <f>IFERROR(__xludf.DUMMYFUNCTION("""COMPUTED_VALUE"""),4.0)</f>
        <v>4</v>
      </c>
      <c r="C2" s="8" t="str">
        <f>IFERROR(__xludf.DUMMYFUNCTION("""COMPUTED_VALUE"""),"none")</f>
        <v>none</v>
      </c>
      <c r="D2" s="8">
        <f>IFERROR(__xludf.DUMMYFUNCTION("""COMPUTED_VALUE"""),50.0)</f>
        <v>50</v>
      </c>
      <c r="E2" s="8" t="str">
        <f>IFERROR(__xludf.DUMMYFUNCTION("""COMPUTED_VALUE"""),"head4")</f>
        <v>head4</v>
      </c>
      <c r="F2" s="8" t="str">
        <f>IFERROR(__xludf.DUMMYFUNCTION("""COMPUTED_VALUE"""),"")</f>
        <v/>
      </c>
    </row>
    <row r="3" ht="37.5" customHeight="1">
      <c r="A3" s="8" t="str">
        <f>IFERROR(__xludf.DUMMYFUNCTION("""COMPUTED_VALUE"""),"007_blood of the martyr.anm2")</f>
        <v>007_blood of the martyr.anm2</v>
      </c>
      <c r="B3" s="8">
        <f>IFERROR(__xludf.DUMMYFUNCTION("""COMPUTED_VALUE"""),7.0)</f>
        <v>7</v>
      </c>
      <c r="C3" s="8" t="str">
        <f>IFERROR(__xludf.DUMMYFUNCTION("""COMPUTED_VALUE"""),"passive")</f>
        <v>passive</v>
      </c>
      <c r="D3" s="8">
        <f>IFERROR(__xludf.DUMMYFUNCTION("""COMPUTED_VALUE"""),0.0)</f>
        <v>0</v>
      </c>
      <c r="E3" s="8" t="str">
        <f>IFERROR(__xludf.DUMMYFUNCTION("""COMPUTED_VALUE"""),"head4")</f>
        <v>head4</v>
      </c>
      <c r="F3" s="8" t="str">
        <f>IFERROR(__xludf.DUMMYFUNCTION("""COMPUTED_VALUE"""),"")</f>
        <v/>
      </c>
    </row>
    <row r="4" ht="37.5" customHeight="1">
      <c r="A4" s="8" t="str">
        <f>IFERROR(__xludf.DUMMYFUNCTION("""COMPUTED_VALUE"""),"009_skatole.anm2")</f>
        <v>009_skatole.anm2</v>
      </c>
      <c r="B4" s="8">
        <f>IFERROR(__xludf.DUMMYFUNCTION("""COMPUTED_VALUE"""),9.0)</f>
        <v>9</v>
      </c>
      <c r="C4" s="8" t="str">
        <f>IFERROR(__xludf.DUMMYFUNCTION("""COMPUTED_VALUE"""),"passive")</f>
        <v>passive</v>
      </c>
      <c r="D4" s="8">
        <f>IFERROR(__xludf.DUMMYFUNCTION("""COMPUTED_VALUE"""),0.0)</f>
        <v>0</v>
      </c>
      <c r="E4" s="8" t="str">
        <f>IFERROR(__xludf.DUMMYFUNCTION("""COMPUTED_VALUE"""),"head4")</f>
        <v>head4</v>
      </c>
      <c r="F4" s="8" t="str">
        <f>IFERROR(__xludf.DUMMYFUNCTION("""COMPUTED_VALUE"""),"")</f>
        <v/>
      </c>
    </row>
    <row r="5" ht="37.5" customHeight="1">
      <c r="A5" s="8" t="str">
        <f>IFERROR(__xludf.DUMMYFUNCTION("""COMPUTED_VALUE"""),"039_moms bra.anm2")</f>
        <v>039_moms bra.anm2</v>
      </c>
      <c r="B5" s="8">
        <f>IFERROR(__xludf.DUMMYFUNCTION("""COMPUTED_VALUE"""),39.0)</f>
        <v>39</v>
      </c>
      <c r="C5" s="8" t="str">
        <f>IFERROR(__xludf.DUMMYFUNCTION("""COMPUTED_VALUE"""),"active")</f>
        <v>active</v>
      </c>
      <c r="D5" s="8">
        <f>IFERROR(__xludf.DUMMYFUNCTION("""COMPUTED_VALUE"""),0.0)</f>
        <v>0</v>
      </c>
      <c r="E5" s="8" t="str">
        <f>IFERROR(__xludf.DUMMYFUNCTION("""COMPUTED_VALUE"""),"head4")</f>
        <v>head4</v>
      </c>
      <c r="F5" s="8" t="str">
        <f>IFERROR(__xludf.DUMMYFUNCTION("""COMPUTED_VALUE"""),"")</f>
        <v/>
      </c>
    </row>
    <row r="6" ht="37.5" customHeight="1">
      <c r="A6" s="8" t="str">
        <f>IFERROR(__xludf.DUMMYFUNCTION("""COMPUTED_VALUE"""),"048_cupids arrow.anm2")</f>
        <v>048_cupids arrow.anm2</v>
      </c>
      <c r="B6" s="8">
        <f>IFERROR(__xludf.DUMMYFUNCTION("""COMPUTED_VALUE"""),48.0)</f>
        <v>48</v>
      </c>
      <c r="C6" s="8" t="str">
        <f>IFERROR(__xludf.DUMMYFUNCTION("""COMPUTED_VALUE"""),"passive")</f>
        <v>passive</v>
      </c>
      <c r="D6" s="8">
        <f>IFERROR(__xludf.DUMMYFUNCTION("""COMPUTED_VALUE"""),0.0)</f>
        <v>0</v>
      </c>
      <c r="E6" s="8" t="str">
        <f>IFERROR(__xludf.DUMMYFUNCTION("""COMPUTED_VALUE"""),"head4")</f>
        <v>head4</v>
      </c>
      <c r="F6" s="8" t="str">
        <f>IFERROR(__xludf.DUMMYFUNCTION("""COMPUTED_VALUE"""),"")</f>
        <v/>
      </c>
    </row>
    <row r="7" ht="37.5" customHeight="1">
      <c r="A7" s="8" t="str">
        <f>IFERROR(__xludf.DUMMYFUNCTION("""COMPUTED_VALUE"""),"049_shoop da whoop.anm2")</f>
        <v>049_shoop da whoop.anm2</v>
      </c>
      <c r="B7" s="8">
        <f>IFERROR(__xludf.DUMMYFUNCTION("""COMPUTED_VALUE"""),49.0)</f>
        <v>49</v>
      </c>
      <c r="C7" s="8" t="str">
        <f>IFERROR(__xludf.DUMMYFUNCTION("""COMPUTED_VALUE"""),"active")</f>
        <v>active</v>
      </c>
      <c r="D7" s="8">
        <f>IFERROR(__xludf.DUMMYFUNCTION("""COMPUTED_VALUE"""),30.0)</f>
        <v>30</v>
      </c>
      <c r="E7" s="8" t="str">
        <f>IFERROR(__xludf.DUMMYFUNCTION("""COMPUTED_VALUE"""),"head4")</f>
        <v>head4</v>
      </c>
      <c r="F7" s="8" t="str">
        <f>IFERROR(__xludf.DUMMYFUNCTION("""COMPUTED_VALUE"""),"")</f>
        <v/>
      </c>
    </row>
    <row r="8" ht="37.5" customHeight="1">
      <c r="A8" s="8" t="str">
        <f>IFERROR(__xludf.DUMMYFUNCTION("""COMPUTED_VALUE"""),"052_dr fetus.anm2")</f>
        <v>052_dr fetus.anm2</v>
      </c>
      <c r="B8" s="8">
        <f>IFERROR(__xludf.DUMMYFUNCTION("""COMPUTED_VALUE"""),52.0)</f>
        <v>52</v>
      </c>
      <c r="C8" s="8" t="str">
        <f>IFERROR(__xludf.DUMMYFUNCTION("""COMPUTED_VALUE"""),"passive")</f>
        <v>passive</v>
      </c>
      <c r="D8" s="8">
        <f>IFERROR(__xludf.DUMMYFUNCTION("""COMPUTED_VALUE"""),0.0)</f>
        <v>0</v>
      </c>
      <c r="E8" s="8" t="str">
        <f>IFERROR(__xludf.DUMMYFUNCTION("""COMPUTED_VALUE"""),"head4")</f>
        <v>head4</v>
      </c>
      <c r="F8" s="8" t="str">
        <f>IFERROR(__xludf.DUMMYFUNCTION("""COMPUTED_VALUE"""),"")</f>
        <v/>
      </c>
    </row>
    <row r="9" ht="37.5" customHeight="1">
      <c r="A9" s="8" t="str">
        <f>IFERROR(__xludf.DUMMYFUNCTION("""COMPUTED_VALUE"""),"663_toothandnail_statue.anm2")</f>
        <v>663_toothandnail_statue.anm2</v>
      </c>
      <c r="B9" s="8">
        <f>IFERROR(__xludf.DUMMYFUNCTION("""COMPUTED_VALUE"""),59.0)</f>
        <v>59</v>
      </c>
      <c r="C9" s="8" t="str">
        <f>IFERROR(__xludf.DUMMYFUNCTION("""COMPUTED_VALUE"""),"none")</f>
        <v>none</v>
      </c>
      <c r="D9" s="8">
        <f>IFERROR(__xludf.DUMMYFUNCTION("""COMPUTED_VALUE"""),51.0)</f>
        <v>51</v>
      </c>
      <c r="E9" s="8" t="str">
        <f>IFERROR(__xludf.DUMMYFUNCTION("""COMPUTED_VALUE"""),"head4")</f>
        <v>head4</v>
      </c>
      <c r="F9" s="8" t="str">
        <f>IFERROR(__xludf.DUMMYFUNCTION("""COMPUTED_VALUE"""),"")</f>
        <v/>
      </c>
    </row>
    <row r="10" ht="37.5" customHeight="1">
      <c r="A10" s="8" t="str">
        <f>IFERROR(__xludf.DUMMYFUNCTION("""COMPUTED_VALUE"""),"n_reverse_chariot.anm2")</f>
        <v>n_reverse_chariot.anm2</v>
      </c>
      <c r="B10" s="8">
        <f>IFERROR(__xludf.DUMMYFUNCTION("""COMPUTED_VALUE"""),63.0)</f>
        <v>63</v>
      </c>
      <c r="C10" s="8" t="str">
        <f>IFERROR(__xludf.DUMMYFUNCTION("""COMPUTED_VALUE"""),"none")</f>
        <v>none</v>
      </c>
      <c r="D10" s="8">
        <f>IFERROR(__xludf.DUMMYFUNCTION("""COMPUTED_VALUE"""),51.0)</f>
        <v>51</v>
      </c>
      <c r="E10" s="8" t="str">
        <f>IFERROR(__xludf.DUMMYFUNCTION("""COMPUTED_VALUE"""),"head4")</f>
        <v>head4</v>
      </c>
      <c r="F10" s="8" t="str">
        <f>IFERROR(__xludf.DUMMYFUNCTION("""COMPUTED_VALUE"""),"")</f>
        <v/>
      </c>
    </row>
    <row r="11" ht="37.5" customHeight="1">
      <c r="A11" s="8" t="str">
        <f>IFERROR(__xludf.DUMMYFUNCTION("""COMPUTED_VALUE"""),"n_reverse_chariot_alt.anm2")</f>
        <v>n_reverse_chariot_alt.anm2</v>
      </c>
      <c r="B11" s="8">
        <f>IFERROR(__xludf.DUMMYFUNCTION("""COMPUTED_VALUE"""),68.0)</f>
        <v>68</v>
      </c>
      <c r="C11" s="8" t="str">
        <f>IFERROR(__xludf.DUMMYFUNCTION("""COMPUTED_VALUE"""),"none")</f>
        <v>none</v>
      </c>
      <c r="D11" s="8">
        <f>IFERROR(__xludf.DUMMYFUNCTION("""COMPUTED_VALUE"""),51.0)</f>
        <v>51</v>
      </c>
      <c r="E11" s="8" t="str">
        <f>IFERROR(__xludf.DUMMYFUNCTION("""COMPUTED_VALUE"""),"head4")</f>
        <v>head4</v>
      </c>
      <c r="F11" s="8" t="str">
        <f>IFERROR(__xludf.DUMMYFUNCTION("""COMPUTED_VALUE"""),"")</f>
        <v/>
      </c>
    </row>
    <row r="12" ht="37.5" customHeight="1">
      <c r="A12" s="8" t="str">
        <f>IFERROR(__xludf.DUMMYFUNCTION("""COMPUTED_VALUE"""),"029x_wavycap1.anm2")</f>
        <v>029x_wavycap1.anm2</v>
      </c>
      <c r="B12" s="8">
        <f>IFERROR(__xludf.DUMMYFUNCTION("""COMPUTED_VALUE"""),71.0)</f>
        <v>71</v>
      </c>
      <c r="C12" s="8" t="str">
        <f>IFERROR(__xludf.DUMMYFUNCTION("""COMPUTED_VALUE"""),"none")</f>
        <v>none</v>
      </c>
      <c r="D12" s="8">
        <f>IFERROR(__xludf.DUMMYFUNCTION("""COMPUTED_VALUE"""),10.0)</f>
        <v>10</v>
      </c>
      <c r="E12" s="8" t="str">
        <f>IFERROR(__xludf.DUMMYFUNCTION("""COMPUTED_VALUE"""),"head4")</f>
        <v>head4</v>
      </c>
      <c r="F12" s="8" t="str">
        <f>IFERROR(__xludf.DUMMYFUNCTION("""COMPUTED_VALUE"""),"")</f>
        <v/>
      </c>
    </row>
    <row r="13" ht="37.5" customHeight="1">
      <c r="A13" s="8" t="str">
        <f>IFERROR(__xludf.DUMMYFUNCTION("""COMPUTED_VALUE"""),"029x_wavycap2.anm2")</f>
        <v>029x_wavycap2.anm2</v>
      </c>
      <c r="B13" s="8">
        <f>IFERROR(__xludf.DUMMYFUNCTION("""COMPUTED_VALUE"""),72.0)</f>
        <v>72</v>
      </c>
      <c r="C13" s="8" t="str">
        <f>IFERROR(__xludf.DUMMYFUNCTION("""COMPUTED_VALUE"""),"none")</f>
        <v>none</v>
      </c>
      <c r="D13" s="8">
        <f>IFERROR(__xludf.DUMMYFUNCTION("""COMPUTED_VALUE"""),10.0)</f>
        <v>10</v>
      </c>
      <c r="E13" s="8" t="str">
        <f>IFERROR(__xludf.DUMMYFUNCTION("""COMPUTED_VALUE"""),"head4")</f>
        <v>head4</v>
      </c>
      <c r="F13" s="8" t="str">
        <f>IFERROR(__xludf.DUMMYFUNCTION("""COMPUTED_VALUE"""),"")</f>
        <v/>
      </c>
    </row>
    <row r="14" ht="37.5" customHeight="1">
      <c r="A14" s="8" t="str">
        <f>IFERROR(__xludf.DUMMYFUNCTION("""COMPUTED_VALUE"""),"029x_wavycap3.anm2")</f>
        <v>029x_wavycap3.anm2</v>
      </c>
      <c r="B14" s="8">
        <f>IFERROR(__xludf.DUMMYFUNCTION("""COMPUTED_VALUE"""),73.0)</f>
        <v>73</v>
      </c>
      <c r="C14" s="8" t="str">
        <f>IFERROR(__xludf.DUMMYFUNCTION("""COMPUTED_VALUE"""),"none")</f>
        <v>none</v>
      </c>
      <c r="D14" s="8">
        <f>IFERROR(__xludf.DUMMYFUNCTION("""COMPUTED_VALUE"""),10.0)</f>
        <v>10</v>
      </c>
      <c r="E14" s="8" t="str">
        <f>IFERROR(__xludf.DUMMYFUNCTION("""COMPUTED_VALUE"""),"head4")</f>
        <v>head4</v>
      </c>
      <c r="F14" s="8" t="str">
        <f>IFERROR(__xludf.DUMMYFUNCTION("""COMPUTED_VALUE"""),"")</f>
        <v/>
      </c>
    </row>
    <row r="15" ht="37.5" customHeight="1">
      <c r="A15" s="8" t="str">
        <f>IFERROR(__xludf.DUMMYFUNCTION("""COMPUTED_VALUE"""),"091_spelunker hat.anm2")</f>
        <v>091_spelunker hat.anm2</v>
      </c>
      <c r="B15" s="8">
        <f>IFERROR(__xludf.DUMMYFUNCTION("""COMPUTED_VALUE"""),91.0)</f>
        <v>91</v>
      </c>
      <c r="C15" s="8" t="str">
        <f>IFERROR(__xludf.DUMMYFUNCTION("""COMPUTED_VALUE"""),"passive")</f>
        <v>passive</v>
      </c>
      <c r="D15" s="8">
        <f>IFERROR(__xludf.DUMMYFUNCTION("""COMPUTED_VALUE"""),0.0)</f>
        <v>0</v>
      </c>
      <c r="E15" s="8" t="str">
        <f>IFERROR(__xludf.DUMMYFUNCTION("""COMPUTED_VALUE"""),"head4")</f>
        <v>head4</v>
      </c>
      <c r="F15" s="8" t="str">
        <f>IFERROR(__xludf.DUMMYFUNCTION("""COMPUTED_VALUE"""),"")</f>
        <v/>
      </c>
    </row>
    <row r="16" ht="37.5" customHeight="1">
      <c r="A16" s="8" t="str">
        <f>IFERROR(__xludf.DUMMYFUNCTION("""COMPUTED_VALUE"""),"092_super bandage.anm2")</f>
        <v>092_super bandage.anm2</v>
      </c>
      <c r="B16" s="8">
        <f>IFERROR(__xludf.DUMMYFUNCTION("""COMPUTED_VALUE"""),92.0)</f>
        <v>92</v>
      </c>
      <c r="C16" s="8" t="str">
        <f>IFERROR(__xludf.DUMMYFUNCTION("""COMPUTED_VALUE"""),"passive")</f>
        <v>passive</v>
      </c>
      <c r="D16" s="8">
        <f>IFERROR(__xludf.DUMMYFUNCTION("""COMPUTED_VALUE"""),0.0)</f>
        <v>0</v>
      </c>
      <c r="E16" s="8" t="str">
        <f>IFERROR(__xludf.DUMMYFUNCTION("""COMPUTED_VALUE"""),"head4")</f>
        <v>head4</v>
      </c>
      <c r="F16" s="8" t="str">
        <f>IFERROR(__xludf.DUMMYFUNCTION("""COMPUTED_VALUE"""),"")</f>
        <v/>
      </c>
    </row>
    <row r="17" ht="37.5" customHeight="1">
      <c r="A17" s="8" t="str">
        <f>IFERROR(__xludf.DUMMYFUNCTION("""COMPUTED_VALUE"""),"character_b14_apollyon.anm2")</f>
        <v>character_b14_apollyon.anm2</v>
      </c>
      <c r="B17" s="8">
        <f>IFERROR(__xludf.DUMMYFUNCTION("""COMPUTED_VALUE"""),92.0)</f>
        <v>92</v>
      </c>
      <c r="C17" s="8" t="str">
        <f>IFERROR(__xludf.DUMMYFUNCTION("""COMPUTED_VALUE"""),"none")</f>
        <v>none</v>
      </c>
      <c r="D17" s="8">
        <f>IFERROR(__xludf.DUMMYFUNCTION("""COMPUTED_VALUE"""),99.0)</f>
        <v>99</v>
      </c>
      <c r="E17" s="8" t="str">
        <f>IFERROR(__xludf.DUMMYFUNCTION("""COMPUTED_VALUE"""),"head4")</f>
        <v>head4</v>
      </c>
      <c r="F17" s="8" t="str">
        <f>IFERROR(__xludf.DUMMYFUNCTION("""COMPUTED_VALUE"""),"")</f>
        <v/>
      </c>
    </row>
    <row r="18" ht="37.5" customHeight="1">
      <c r="A18" s="8" t="str">
        <f>IFERROR(__xludf.DUMMYFUNCTION("""COMPUTED_VALUE"""),"093_the gamekid.anm2")</f>
        <v>093_the gamekid.anm2</v>
      </c>
      <c r="B18" s="8">
        <f>IFERROR(__xludf.DUMMYFUNCTION("""COMPUTED_VALUE"""),93.0)</f>
        <v>93</v>
      </c>
      <c r="C18" s="8" t="str">
        <f>IFERROR(__xludf.DUMMYFUNCTION("""COMPUTED_VALUE"""),"active")</f>
        <v>active</v>
      </c>
      <c r="D18" s="8">
        <f>IFERROR(__xludf.DUMMYFUNCTION("""COMPUTED_VALUE"""),100.0)</f>
        <v>100</v>
      </c>
      <c r="E18" s="8" t="str">
        <f>IFERROR(__xludf.DUMMYFUNCTION("""COMPUTED_VALUE"""),"head4")</f>
        <v>head4</v>
      </c>
      <c r="F18" s="8" t="str">
        <f>IFERROR(__xludf.DUMMYFUNCTION("""COMPUTED_VALUE"""),"")</f>
        <v/>
      </c>
    </row>
    <row r="19" ht="37.5" customHeight="1">
      <c r="A19" s="8" t="str">
        <f>IFERROR(__xludf.DUMMYFUNCTION("""COMPUTED_VALUE"""),"101_the halo.anm2")</f>
        <v>101_the halo.anm2</v>
      </c>
      <c r="B19" s="8">
        <f>IFERROR(__xludf.DUMMYFUNCTION("""COMPUTED_VALUE"""),101.0)</f>
        <v>101</v>
      </c>
      <c r="C19" s="8" t="str">
        <f>IFERROR(__xludf.DUMMYFUNCTION("""COMPUTED_VALUE"""),"passive")</f>
        <v>passive</v>
      </c>
      <c r="D19" s="8">
        <f>IFERROR(__xludf.DUMMYFUNCTION("""COMPUTED_VALUE"""),0.0)</f>
        <v>0</v>
      </c>
      <c r="E19" s="8" t="str">
        <f>IFERROR(__xludf.DUMMYFUNCTION("""COMPUTED_VALUE"""),"head4")</f>
        <v>head4</v>
      </c>
      <c r="F19" s="8" t="str">
        <f>IFERROR(__xludf.DUMMYFUNCTION("""COMPUTED_VALUE"""),"")</f>
        <v/>
      </c>
    </row>
    <row r="20" ht="37.5" customHeight="1">
      <c r="A20" s="8" t="str">
        <f>IFERROR(__xludf.DUMMYFUNCTION("""COMPUTED_VALUE"""),"117_dead bird.anm2")</f>
        <v>117_dead bird.anm2</v>
      </c>
      <c r="B20" s="8">
        <f>IFERROR(__xludf.DUMMYFUNCTION("""COMPUTED_VALUE"""),117.0)</f>
        <v>117</v>
      </c>
      <c r="C20" s="8" t="str">
        <f>IFERROR(__xludf.DUMMYFUNCTION("""COMPUTED_VALUE"""),"passive")</f>
        <v>passive</v>
      </c>
      <c r="D20" s="8">
        <f>IFERROR(__xludf.DUMMYFUNCTION("""COMPUTED_VALUE"""),0.0)</f>
        <v>0</v>
      </c>
      <c r="E20" s="8" t="str">
        <f>IFERROR(__xludf.DUMMYFUNCTION("""COMPUTED_VALUE"""),"head4")</f>
        <v>head4</v>
      </c>
      <c r="F20" s="8" t="str">
        <f>IFERROR(__xludf.DUMMYFUNCTION("""COMPUTED_VALUE"""),"")</f>
        <v/>
      </c>
    </row>
    <row r="21" ht="37.5" customHeight="1">
      <c r="A21" s="8" t="str">
        <f>IFERROR(__xludf.DUMMYFUNCTION("""COMPUTED_VALUE"""),"141_pageant boy.anm2")</f>
        <v>141_pageant boy.anm2</v>
      </c>
      <c r="B21" s="8">
        <f>IFERROR(__xludf.DUMMYFUNCTION("""COMPUTED_VALUE"""),141.0)</f>
        <v>141</v>
      </c>
      <c r="C21" s="8" t="str">
        <f>IFERROR(__xludf.DUMMYFUNCTION("""COMPUTED_VALUE"""),"passive")</f>
        <v>passive</v>
      </c>
      <c r="D21" s="8">
        <f>IFERROR(__xludf.DUMMYFUNCTION("""COMPUTED_VALUE"""),0.0)</f>
        <v>0</v>
      </c>
      <c r="E21" s="8" t="str">
        <f>IFERROR(__xludf.DUMMYFUNCTION("""COMPUTED_VALUE"""),"head4")</f>
        <v>head4</v>
      </c>
      <c r="F21" s="8" t="str">
        <f>IFERROR(__xludf.DUMMYFUNCTION("""COMPUTED_VALUE"""),"")</f>
        <v/>
      </c>
    </row>
    <row r="22" ht="37.5" customHeight="1">
      <c r="A22" s="8" t="str">
        <f>IFERROR(__xludf.DUMMYFUNCTION("""COMPUTED_VALUE"""),"156_habit.anm2")</f>
        <v>156_habit.anm2</v>
      </c>
      <c r="B22" s="8">
        <f>IFERROR(__xludf.DUMMYFUNCTION("""COMPUTED_VALUE"""),156.0)</f>
        <v>156</v>
      </c>
      <c r="C22" s="8" t="str">
        <f>IFERROR(__xludf.DUMMYFUNCTION("""COMPUTED_VALUE"""),"passive")</f>
        <v>passive</v>
      </c>
      <c r="D22" s="8">
        <f>IFERROR(__xludf.DUMMYFUNCTION("""COMPUTED_VALUE"""),0.0)</f>
        <v>0</v>
      </c>
      <c r="E22" s="8" t="str">
        <f>IFERROR(__xludf.DUMMYFUNCTION("""COMPUTED_VALUE"""),"head4")</f>
        <v>head4</v>
      </c>
      <c r="F22" s="8" t="str">
        <f>IFERROR(__xludf.DUMMYFUNCTION("""COMPUTED_VALUE"""),"")</f>
        <v/>
      </c>
    </row>
    <row r="23" ht="37.5" customHeight="1">
      <c r="A23" s="8" t="str">
        <f>IFERROR(__xludf.DUMMYFUNCTION("""COMPUTED_VALUE"""),"157_blood lust.anm2")</f>
        <v>157_blood lust.anm2</v>
      </c>
      <c r="B23" s="8">
        <f>IFERROR(__xludf.DUMMYFUNCTION("""COMPUTED_VALUE"""),157.0)</f>
        <v>157</v>
      </c>
      <c r="C23" s="8" t="str">
        <f>IFERROR(__xludf.DUMMYFUNCTION("""COMPUTED_VALUE"""),"passive")</f>
        <v>passive</v>
      </c>
      <c r="D23" s="8">
        <f>IFERROR(__xludf.DUMMYFUNCTION("""COMPUTED_VALUE"""),0.0)</f>
        <v>0</v>
      </c>
      <c r="E23" s="8" t="str">
        <f>IFERROR(__xludf.DUMMYFUNCTION("""COMPUTED_VALUE"""),"head4")</f>
        <v>head4</v>
      </c>
      <c r="F23" s="8" t="str">
        <f>IFERROR(__xludf.DUMMYFUNCTION("""COMPUTED_VALUE"""),"")</f>
        <v/>
      </c>
    </row>
    <row r="24" ht="37.5" customHeight="1">
      <c r="A24" s="8" t="str">
        <f>IFERROR(__xludf.DUMMYFUNCTION("""COMPUTED_VALUE"""),"168_epic fetus.anm2")</f>
        <v>168_epic fetus.anm2</v>
      </c>
      <c r="B24" s="8">
        <f>IFERROR(__xludf.DUMMYFUNCTION("""COMPUTED_VALUE"""),168.0)</f>
        <v>168</v>
      </c>
      <c r="C24" s="8" t="str">
        <f>IFERROR(__xludf.DUMMYFUNCTION("""COMPUTED_VALUE"""),"passive")</f>
        <v>passive</v>
      </c>
      <c r="D24" s="8">
        <f>IFERROR(__xludf.DUMMYFUNCTION("""COMPUTED_VALUE"""),0.0)</f>
        <v>0</v>
      </c>
      <c r="E24" s="8" t="str">
        <f>IFERROR(__xludf.DUMMYFUNCTION("""COMPUTED_VALUE"""),"head4")</f>
        <v>head4</v>
      </c>
      <c r="F24" s="8" t="str">
        <f>IFERROR(__xludf.DUMMYFUNCTION("""COMPUTED_VALUE"""),"")</f>
        <v/>
      </c>
    </row>
    <row r="25" ht="37.5" customHeight="1">
      <c r="A25" s="8" t="str">
        <f>IFERROR(__xludf.DUMMYFUNCTION("""COMPUTED_VALUE"""),"205_sharpplug.anm2")</f>
        <v>205_sharpplug.anm2</v>
      </c>
      <c r="B25" s="8">
        <f>IFERROR(__xludf.DUMMYFUNCTION("""COMPUTED_VALUE"""),205.0)</f>
        <v>205</v>
      </c>
      <c r="C25" s="8" t="str">
        <f>IFERROR(__xludf.DUMMYFUNCTION("""COMPUTED_VALUE"""),"passive")</f>
        <v>passive</v>
      </c>
      <c r="D25" s="8">
        <f>IFERROR(__xludf.DUMMYFUNCTION("""COMPUTED_VALUE"""),0.0)</f>
        <v>0</v>
      </c>
      <c r="E25" s="8" t="str">
        <f>IFERROR(__xludf.DUMMYFUNCTION("""COMPUTED_VALUE"""),"head4")</f>
        <v>head4</v>
      </c>
      <c r="F25" s="8" t="str">
        <f>IFERROR(__xludf.DUMMYFUNCTION("""COMPUTED_VALUE"""),"")</f>
        <v/>
      </c>
    </row>
    <row r="26" ht="37.5" customHeight="1">
      <c r="A26" s="8" t="str">
        <f>IFERROR(__xludf.DUMMYFUNCTION("""COMPUTED_VALUE"""),"215_goathead.anm2")</f>
        <v>215_goathead.anm2</v>
      </c>
      <c r="B26" s="8">
        <f>IFERROR(__xludf.DUMMYFUNCTION("""COMPUTED_VALUE"""),215.0)</f>
        <v>215</v>
      </c>
      <c r="C26" s="8" t="str">
        <f>IFERROR(__xludf.DUMMYFUNCTION("""COMPUTED_VALUE"""),"passive")</f>
        <v>passive</v>
      </c>
      <c r="D26" s="8">
        <f>IFERROR(__xludf.DUMMYFUNCTION("""COMPUTED_VALUE"""),0.0)</f>
        <v>0</v>
      </c>
      <c r="E26" s="8" t="str">
        <f>IFERROR(__xludf.DUMMYFUNCTION("""COMPUTED_VALUE"""),"head4")</f>
        <v>head4</v>
      </c>
      <c r="F26" s="8" t="str">
        <f>IFERROR(__xludf.DUMMYFUNCTION("""COMPUTED_VALUE"""),"")</f>
        <v/>
      </c>
    </row>
    <row r="27" ht="37.5" customHeight="1">
      <c r="A27" s="8" t="str">
        <f>IFERROR(__xludf.DUMMYFUNCTION("""COMPUTED_VALUE"""),"216_ceremonialrobes.anm2")</f>
        <v>216_ceremonialrobes.anm2</v>
      </c>
      <c r="B27" s="8">
        <f>IFERROR(__xludf.DUMMYFUNCTION("""COMPUTED_VALUE"""),216.0)</f>
        <v>216</v>
      </c>
      <c r="C27" s="8" t="str">
        <f>IFERROR(__xludf.DUMMYFUNCTION("""COMPUTED_VALUE"""),"passive")</f>
        <v>passive</v>
      </c>
      <c r="D27" s="8">
        <f>IFERROR(__xludf.DUMMYFUNCTION("""COMPUTED_VALUE"""),0.0)</f>
        <v>0</v>
      </c>
      <c r="E27" s="8" t="str">
        <f>IFERROR(__xludf.DUMMYFUNCTION("""COMPUTED_VALUE"""),"head4")</f>
        <v>head4</v>
      </c>
      <c r="F27" s="8" t="str">
        <f>IFERROR(__xludf.DUMMYFUNCTION("""COMPUTED_VALUE"""),"")</f>
        <v/>
      </c>
    </row>
    <row r="28" ht="37.5" customHeight="1">
      <c r="A28" s="8" t="str">
        <f>IFERROR(__xludf.DUMMYFUNCTION("""COMPUTED_VALUE"""),"217_momswig.anm2")</f>
        <v>217_momswig.anm2</v>
      </c>
      <c r="B28" s="8">
        <f>IFERROR(__xludf.DUMMYFUNCTION("""COMPUTED_VALUE"""),217.0)</f>
        <v>217</v>
      </c>
      <c r="C28" s="8" t="str">
        <f>IFERROR(__xludf.DUMMYFUNCTION("""COMPUTED_VALUE"""),"passive")</f>
        <v>passive</v>
      </c>
      <c r="D28" s="8">
        <f>IFERROR(__xludf.DUMMYFUNCTION("""COMPUTED_VALUE"""),0.0)</f>
        <v>0</v>
      </c>
      <c r="E28" s="8" t="str">
        <f>IFERROR(__xludf.DUMMYFUNCTION("""COMPUTED_VALUE"""),"head4")</f>
        <v>head4</v>
      </c>
      <c r="F28" s="8" t="str">
        <f>IFERROR(__xludf.DUMMYFUNCTION("""COMPUTED_VALUE"""),"")</f>
        <v/>
      </c>
    </row>
    <row r="29" ht="37.5" customHeight="1">
      <c r="A29" s="8" t="str">
        <f>IFERROR(__xludf.DUMMYFUNCTION("""COMPUTED_VALUE"""),"248_hive mind.anm2")</f>
        <v>248_hive mind.anm2</v>
      </c>
      <c r="B29" s="8">
        <f>IFERROR(__xludf.DUMMYFUNCTION("""COMPUTED_VALUE"""),248.0)</f>
        <v>248</v>
      </c>
      <c r="C29" s="8" t="str">
        <f>IFERROR(__xludf.DUMMYFUNCTION("""COMPUTED_VALUE"""),"passive")</f>
        <v>passive</v>
      </c>
      <c r="D29" s="8">
        <f>IFERROR(__xludf.DUMMYFUNCTION("""COMPUTED_VALUE"""),0.0)</f>
        <v>0</v>
      </c>
      <c r="E29" s="8" t="str">
        <f>IFERROR(__xludf.DUMMYFUNCTION("""COMPUTED_VALUE"""),"head4")</f>
        <v>head4</v>
      </c>
      <c r="F29" s="8" t="str">
        <f>IFERROR(__xludf.DUMMYFUNCTION("""COMPUTED_VALUE"""),"")</f>
        <v/>
      </c>
    </row>
    <row r="30" ht="37.5" customHeight="1">
      <c r="A30" s="8" t="str">
        <f>IFERROR(__xludf.DUMMYFUNCTION("""COMPUTED_VALUE"""),"300_aries.anm2")</f>
        <v>300_aries.anm2</v>
      </c>
      <c r="B30" s="8">
        <f>IFERROR(__xludf.DUMMYFUNCTION("""COMPUTED_VALUE"""),300.0)</f>
        <v>300</v>
      </c>
      <c r="C30" s="8" t="str">
        <f>IFERROR(__xludf.DUMMYFUNCTION("""COMPUTED_VALUE"""),"passive")</f>
        <v>passive</v>
      </c>
      <c r="D30" s="8">
        <f>IFERROR(__xludf.DUMMYFUNCTION("""COMPUTED_VALUE"""),0.0)</f>
        <v>0</v>
      </c>
      <c r="E30" s="8" t="str">
        <f>IFERROR(__xludf.DUMMYFUNCTION("""COMPUTED_VALUE"""),"head4")</f>
        <v>head4</v>
      </c>
      <c r="F30" s="8" t="str">
        <f>IFERROR(__xludf.DUMMYFUNCTION("""COMPUTED_VALUE"""),"")</f>
        <v/>
      </c>
    </row>
    <row r="31" ht="37.5" customHeight="1">
      <c r="A31" s="8" t="str">
        <f>IFERROR(__xludf.DUMMYFUNCTION("""COMPUTED_VALUE"""),"302_leo.anm2")</f>
        <v>302_leo.anm2</v>
      </c>
      <c r="B31" s="8">
        <f>IFERROR(__xludf.DUMMYFUNCTION("""COMPUTED_VALUE"""),302.0)</f>
        <v>302</v>
      </c>
      <c r="C31" s="8" t="str">
        <f>IFERROR(__xludf.DUMMYFUNCTION("""COMPUTED_VALUE"""),"passive")</f>
        <v>passive</v>
      </c>
      <c r="D31" s="8">
        <f>IFERROR(__xludf.DUMMYFUNCTION("""COMPUTED_VALUE"""),0.0)</f>
        <v>0</v>
      </c>
      <c r="E31" s="8" t="str">
        <f>IFERROR(__xludf.DUMMYFUNCTION("""COMPUTED_VALUE"""),"head4")</f>
        <v>head4</v>
      </c>
      <c r="F31" s="8" t="str">
        <f>IFERROR(__xludf.DUMMYFUNCTION("""COMPUTED_VALUE"""),"")</f>
        <v/>
      </c>
    </row>
    <row r="32" ht="37.5" customHeight="1">
      <c r="A32" s="8" t="str">
        <f>IFERROR(__xludf.DUMMYFUNCTION("""COMPUTED_VALUE"""),"303_virgo.anm2")</f>
        <v>303_virgo.anm2</v>
      </c>
      <c r="B32" s="8">
        <f>IFERROR(__xludf.DUMMYFUNCTION("""COMPUTED_VALUE"""),303.0)</f>
        <v>303</v>
      </c>
      <c r="C32" s="8" t="str">
        <f>IFERROR(__xludf.DUMMYFUNCTION("""COMPUTED_VALUE"""),"passive")</f>
        <v>passive</v>
      </c>
      <c r="D32" s="8">
        <f>IFERROR(__xludf.DUMMYFUNCTION("""COMPUTED_VALUE"""),0.0)</f>
        <v>0</v>
      </c>
      <c r="E32" s="8" t="str">
        <f>IFERROR(__xludf.DUMMYFUNCTION("""COMPUTED_VALUE"""),"head4")</f>
        <v>head4</v>
      </c>
      <c r="F32" s="8" t="str">
        <f>IFERROR(__xludf.DUMMYFUNCTION("""COMPUTED_VALUE"""),"")</f>
        <v/>
      </c>
    </row>
    <row r="33" ht="37.5" customHeight="1">
      <c r="A33" s="8" t="str">
        <f>IFERROR(__xludf.DUMMYFUNCTION("""COMPUTED_VALUE"""),"342_blue cap.anm2")</f>
        <v>342_blue cap.anm2</v>
      </c>
      <c r="B33" s="8">
        <f>IFERROR(__xludf.DUMMYFUNCTION("""COMPUTED_VALUE"""),342.0)</f>
        <v>342</v>
      </c>
      <c r="C33" s="8" t="str">
        <f>IFERROR(__xludf.DUMMYFUNCTION("""COMPUTED_VALUE"""),"passive")</f>
        <v>passive</v>
      </c>
      <c r="D33" s="8">
        <f>IFERROR(__xludf.DUMMYFUNCTION("""COMPUTED_VALUE"""),0.0)</f>
        <v>0</v>
      </c>
      <c r="E33" s="8" t="str">
        <f>IFERROR(__xludf.DUMMYFUNCTION("""COMPUTED_VALUE"""),"head4")</f>
        <v>head4</v>
      </c>
      <c r="F33" s="8" t="str">
        <f>IFERROR(__xludf.DUMMYFUNCTION("""COMPUTED_VALUE"""),"")</f>
        <v/>
      </c>
    </row>
    <row r="34" ht="37.5" customHeight="1">
      <c r="A34" s="8" t="str">
        <f>IFERROR(__xludf.DUMMYFUNCTION("""COMPUTED_VALUE"""),"375_hosthat.anm2")</f>
        <v>375_hosthat.anm2</v>
      </c>
      <c r="B34" s="8">
        <f>IFERROR(__xludf.DUMMYFUNCTION("""COMPUTED_VALUE"""),375.0)</f>
        <v>375</v>
      </c>
      <c r="C34" s="8" t="str">
        <f>IFERROR(__xludf.DUMMYFUNCTION("""COMPUTED_VALUE"""),"passive")</f>
        <v>passive</v>
      </c>
      <c r="D34" s="8">
        <f>IFERROR(__xludf.DUMMYFUNCTION("""COMPUTED_VALUE"""),0.0)</f>
        <v>0</v>
      </c>
      <c r="E34" s="8" t="str">
        <f>IFERROR(__xludf.DUMMYFUNCTION("""COMPUTED_VALUE"""),"head4")</f>
        <v>head4</v>
      </c>
      <c r="F34" s="8" t="str">
        <f>IFERROR(__xludf.DUMMYFUNCTION("""COMPUTED_VALUE"""),"")</f>
        <v/>
      </c>
    </row>
    <row r="35" ht="37.5" customHeight="1">
      <c r="A35" s="8" t="str">
        <f>IFERROR(__xludf.DUMMYFUNCTION("""COMPUTED_VALUE"""),"395_techx.anm2")</f>
        <v>395_techx.anm2</v>
      </c>
      <c r="B35" s="8">
        <f>IFERROR(__xludf.DUMMYFUNCTION("""COMPUTED_VALUE"""),395.0)</f>
        <v>395</v>
      </c>
      <c r="C35" s="8" t="str">
        <f>IFERROR(__xludf.DUMMYFUNCTION("""COMPUTED_VALUE"""),"passive")</f>
        <v>passive</v>
      </c>
      <c r="D35" s="8">
        <f>IFERROR(__xludf.DUMMYFUNCTION("""COMPUTED_VALUE"""),0.0)</f>
        <v>0</v>
      </c>
      <c r="E35" s="8" t="str">
        <f>IFERROR(__xludf.DUMMYFUNCTION("""COMPUTED_VALUE"""),"head4")</f>
        <v>head4</v>
      </c>
      <c r="F35" s="8" t="str">
        <f>IFERROR(__xludf.DUMMYFUNCTION("""COMPUTED_VALUE"""),"")</f>
        <v/>
      </c>
    </row>
    <row r="36" ht="37.5" customHeight="1">
      <c r="A36" s="8" t="str">
        <f>IFERROR(__xludf.DUMMYFUNCTION("""COMPUTED_VALUE"""),"432_glitterbombs.anm2")</f>
        <v>432_glitterbombs.anm2</v>
      </c>
      <c r="B36" s="8">
        <f>IFERROR(__xludf.DUMMYFUNCTION("""COMPUTED_VALUE"""),432.0)</f>
        <v>432</v>
      </c>
      <c r="C36" s="8" t="str">
        <f>IFERROR(__xludf.DUMMYFUNCTION("""COMPUTED_VALUE"""),"passive")</f>
        <v>passive</v>
      </c>
      <c r="D36" s="8">
        <f>IFERROR(__xludf.DUMMYFUNCTION("""COMPUTED_VALUE"""),0.0)</f>
        <v>0</v>
      </c>
      <c r="E36" s="8" t="str">
        <f>IFERROR(__xludf.DUMMYFUNCTION("""COMPUTED_VALUE"""),"head4")</f>
        <v>head4</v>
      </c>
      <c r="F36" s="8" t="str">
        <f>IFERROR(__xludf.DUMMYFUNCTION("""COMPUTED_VALUE"""),"")</f>
        <v/>
      </c>
    </row>
    <row r="37" ht="37.5" customHeight="1">
      <c r="A37" s="8" t="str">
        <f>IFERROR(__xludf.DUMMYFUNCTION("""COMPUTED_VALUE"""),"513_bozo.anm2")</f>
        <v>513_bozo.anm2</v>
      </c>
      <c r="B37" s="8">
        <f>IFERROR(__xludf.DUMMYFUNCTION("""COMPUTED_VALUE"""),513.0)</f>
        <v>513</v>
      </c>
      <c r="C37" s="8" t="str">
        <f>IFERROR(__xludf.DUMMYFUNCTION("""COMPUTED_VALUE"""),"passive")</f>
        <v>passive</v>
      </c>
      <c r="D37" s="8">
        <f>IFERROR(__xludf.DUMMYFUNCTION("""COMPUTED_VALUE"""),0.0)</f>
        <v>0</v>
      </c>
      <c r="E37" s="8" t="str">
        <f>IFERROR(__xludf.DUMMYFUNCTION("""COMPUTED_VALUE"""),"head4")</f>
        <v>head4</v>
      </c>
      <c r="F37" s="8" t="str">
        <f>IFERROR(__xludf.DUMMYFUNCTION("""COMPUTED_VALUE"""),"")</f>
        <v/>
      </c>
    </row>
    <row r="38" ht="37.5" customHeight="1">
      <c r="A38" s="8" t="str">
        <f>IFERROR(__xludf.DUMMYFUNCTION("""COMPUTED_VALUE"""),"520_jumpercable.anm2")</f>
        <v>520_jumpercable.anm2</v>
      </c>
      <c r="B38" s="8">
        <f>IFERROR(__xludf.DUMMYFUNCTION("""COMPUTED_VALUE"""),520.0)</f>
        <v>520</v>
      </c>
      <c r="C38" s="8" t="str">
        <f>IFERROR(__xludf.DUMMYFUNCTION("""COMPUTED_VALUE"""),"passive")</f>
        <v>passive</v>
      </c>
      <c r="D38" s="8">
        <f>IFERROR(__xludf.DUMMYFUNCTION("""COMPUTED_VALUE"""),0.0)</f>
        <v>0</v>
      </c>
      <c r="E38" s="8" t="str">
        <f>IFERROR(__xludf.DUMMYFUNCTION("""COMPUTED_VALUE"""),"head4")</f>
        <v>head4</v>
      </c>
      <c r="F38" s="8" t="str">
        <f>IFERROR(__xludf.DUMMYFUNCTION("""COMPUTED_VALUE"""),"")</f>
        <v/>
      </c>
    </row>
    <row r="39" ht="37.5" customHeight="1">
      <c r="A39" s="8" t="str">
        <f>IFERROR(__xludf.DUMMYFUNCTION("""COMPUTED_VALUE"""),"006x_120volt.anm2")</f>
        <v>006x_120volt.anm2</v>
      </c>
      <c r="B39" s="8">
        <f>IFERROR(__xludf.DUMMYFUNCTION("""COMPUTED_VALUE"""),559.0)</f>
        <v>559</v>
      </c>
      <c r="C39" s="8" t="str">
        <f>IFERROR(__xludf.DUMMYFUNCTION("""COMPUTED_VALUE"""),"passive")</f>
        <v>passive</v>
      </c>
      <c r="D39" s="8">
        <f>IFERROR(__xludf.DUMMYFUNCTION("""COMPUTED_VALUE"""),0.0)</f>
        <v>0</v>
      </c>
      <c r="E39" s="8" t="str">
        <f>IFERROR(__xludf.DUMMYFUNCTION("""COMPUTED_VALUE"""),"head4")</f>
        <v>head4</v>
      </c>
      <c r="F39" s="8" t="str">
        <f>IFERROR(__xludf.DUMMYFUNCTION("""COMPUTED_VALUE"""),"")</f>
        <v/>
      </c>
    </row>
    <row r="40" ht="37.5" customHeight="1">
      <c r="A40" s="8" t="str">
        <f>IFERROR(__xludf.DUMMYFUNCTION("""COMPUTED_VALUE"""),"011x_soap.anm2")</f>
        <v>011x_soap.anm2</v>
      </c>
      <c r="B40" s="8">
        <f>IFERROR(__xludf.DUMMYFUNCTION("""COMPUTED_VALUE"""),564.0)</f>
        <v>564</v>
      </c>
      <c r="C40" s="8" t="str">
        <f>IFERROR(__xludf.DUMMYFUNCTION("""COMPUTED_VALUE"""),"passive")</f>
        <v>passive</v>
      </c>
      <c r="D40" s="8">
        <f>IFERROR(__xludf.DUMMYFUNCTION("""COMPUTED_VALUE"""),0.0)</f>
        <v>0</v>
      </c>
      <c r="E40" s="8" t="str">
        <f>IFERROR(__xludf.DUMMYFUNCTION("""COMPUTED_VALUE"""),"head4")</f>
        <v>head4</v>
      </c>
      <c r="F40" s="8" t="str">
        <f>IFERROR(__xludf.DUMMYFUNCTION("""COMPUTED_VALUE"""),"")</f>
        <v/>
      </c>
    </row>
    <row r="41" ht="37.5" customHeight="1">
      <c r="A41" s="8" t="str">
        <f>IFERROR(__xludf.DUMMYFUNCTION("""COMPUTED_VALUE"""),"037x_mercurius.anm2")</f>
        <v>037x_mercurius.anm2</v>
      </c>
      <c r="B41" s="8">
        <f>IFERROR(__xludf.DUMMYFUNCTION("""COMPUTED_VALUE"""),590.0)</f>
        <v>590</v>
      </c>
      <c r="C41" s="8" t="str">
        <f>IFERROR(__xludf.DUMMYFUNCTION("""COMPUTED_VALUE"""),"passive")</f>
        <v>passive</v>
      </c>
      <c r="D41" s="8">
        <f>IFERROR(__xludf.DUMMYFUNCTION("""COMPUTED_VALUE"""),0.0)</f>
        <v>0</v>
      </c>
      <c r="E41" s="8" t="str">
        <f>IFERROR(__xludf.DUMMYFUNCTION("""COMPUTED_VALUE"""),"head4")</f>
        <v>head4</v>
      </c>
      <c r="F41" s="8" t="str">
        <f>IFERROR(__xludf.DUMMYFUNCTION("""COMPUTED_VALUE"""),"")</f>
        <v/>
      </c>
    </row>
    <row r="42" ht="37.5" customHeight="1">
      <c r="A42" s="8" t="str">
        <f>IFERROR(__xludf.DUMMYFUNCTION("""COMPUTED_VALUE"""),"046x_voodoohead.anm2")</f>
        <v>046x_voodoohead.anm2</v>
      </c>
      <c r="B42" s="8">
        <f>IFERROR(__xludf.DUMMYFUNCTION("""COMPUTED_VALUE"""),599.0)</f>
        <v>599</v>
      </c>
      <c r="C42" s="8" t="str">
        <f>IFERROR(__xludf.DUMMYFUNCTION("""COMPUTED_VALUE"""),"passive")</f>
        <v>passive</v>
      </c>
      <c r="D42" s="8">
        <f>IFERROR(__xludf.DUMMYFUNCTION("""COMPUTED_VALUE"""),0.0)</f>
        <v>0</v>
      </c>
      <c r="E42" s="8" t="str">
        <f>IFERROR(__xludf.DUMMYFUNCTION("""COMPUTED_VALUE"""),"head4")</f>
        <v>head4</v>
      </c>
      <c r="F42" s="8" t="str">
        <f>IFERROR(__xludf.DUMMYFUNCTION("""COMPUTED_VALUE"""),"")</f>
        <v/>
      </c>
    </row>
    <row r="43" ht="37.5" customHeight="1">
      <c r="A43" s="8" t="str">
        <f>IFERROR(__xludf.DUMMYFUNCTION("""COMPUTED_VALUE"""),"057x_birdcage.anm2")</f>
        <v>057x_birdcage.anm2</v>
      </c>
      <c r="B43" s="8">
        <f>IFERROR(__xludf.DUMMYFUNCTION("""COMPUTED_VALUE"""),610.0)</f>
        <v>610</v>
      </c>
      <c r="C43" s="8" t="str">
        <f>IFERROR(__xludf.DUMMYFUNCTION("""COMPUTED_VALUE"""),"familiar")</f>
        <v>familiar</v>
      </c>
      <c r="D43" s="8">
        <f>IFERROR(__xludf.DUMMYFUNCTION("""COMPUTED_VALUE"""),1.0)</f>
        <v>1</v>
      </c>
      <c r="E43" s="8" t="str">
        <f>IFERROR(__xludf.DUMMYFUNCTION("""COMPUTED_VALUE"""),"head4")</f>
        <v>head4</v>
      </c>
      <c r="F43" s="8" t="str">
        <f>IFERROR(__xludf.DUMMYFUNCTION("""COMPUTED_VALUE"""),"")</f>
        <v/>
      </c>
    </row>
    <row r="44" ht="37.5" customHeight="1">
      <c r="A44" s="8" t="str">
        <f>IFERROR(__xludf.DUMMYFUNCTION("""COMPUTED_VALUE"""),"077x_lucky7.anm2")</f>
        <v>077x_lucky7.anm2</v>
      </c>
      <c r="B44" s="8">
        <f>IFERROR(__xludf.DUMMYFUNCTION("""COMPUTED_VALUE"""),630.0)</f>
        <v>630</v>
      </c>
      <c r="C44" s="8" t="str">
        <f>IFERROR(__xludf.DUMMYFUNCTION("""COMPUTED_VALUE"""),"passive")</f>
        <v>passive</v>
      </c>
      <c r="D44" s="8">
        <f>IFERROR(__xludf.DUMMYFUNCTION("""COMPUTED_VALUE"""),0.0)</f>
        <v>0</v>
      </c>
      <c r="E44" s="8" t="str">
        <f>IFERROR(__xludf.DUMMYFUNCTION("""COMPUTED_VALUE"""),"head4")</f>
        <v>head4</v>
      </c>
      <c r="F44" s="8" t="str">
        <f>IFERROR(__xludf.DUMMYFUNCTION("""COMPUTED_VALUE"""),"")</f>
        <v/>
      </c>
    </row>
  </sheetData>
  <customSheetViews>
    <customSheetView guid="{B07D8034-17A6-4979-AD0A-EDA5D4406C74}" filter="1" showAutoFilter="1">
      <autoFilter ref="$A$1:$F$42"/>
    </customSheetView>
  </customSheetViews>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5.13"/>
    <col customWidth="1" min="3" max="3" width="7.25"/>
    <col customWidth="1" min="4" max="4" width="9.38"/>
    <col customWidth="1" min="5" max="5" width="8.0"/>
    <col customWidth="1" min="6" max="6" width="25.13"/>
  </cols>
  <sheetData>
    <row r="1" ht="37.5" customHeight="1">
      <c r="A1" s="10" t="s">
        <v>0</v>
      </c>
      <c r="B1" s="10" t="s">
        <v>1</v>
      </c>
      <c r="C1" s="10" t="s">
        <v>2</v>
      </c>
      <c r="D1" s="10" t="s">
        <v>3</v>
      </c>
      <c r="E1" s="10" t="s">
        <v>4</v>
      </c>
      <c r="F1" s="10" t="s">
        <v>5</v>
      </c>
    </row>
    <row r="2" ht="37.5" customHeight="1">
      <c r="A2" s="8" t="str">
        <f>IFERROR(__xludf.DUMMYFUNCTION("FILTER('All Costumes'!A2:F645, 'All Costumes'!E2:E645=""head5"")"),"210_gnawedleaf_statue.anm2")</f>
        <v>210_gnawedleaf_statue.anm2</v>
      </c>
      <c r="B2" s="8">
        <f>IFERROR(__xludf.DUMMYFUNCTION("""COMPUTED_VALUE"""),4.0)</f>
        <v>4</v>
      </c>
      <c r="C2" s="8" t="str">
        <f>IFERROR(__xludf.DUMMYFUNCTION("""COMPUTED_VALUE"""),"none")</f>
        <v>none</v>
      </c>
      <c r="D2" s="8">
        <f>IFERROR(__xludf.DUMMYFUNCTION("""COMPUTED_VALUE"""),50.0)</f>
        <v>50</v>
      </c>
      <c r="E2" s="8" t="str">
        <f>IFERROR(__xludf.DUMMYFUNCTION("""COMPUTED_VALUE"""),"head5")</f>
        <v>head5</v>
      </c>
      <c r="F2" s="8" t="str">
        <f>IFERROR(__xludf.DUMMYFUNCTION("""COMPUTED_VALUE"""),"")</f>
        <v/>
      </c>
    </row>
    <row r="3" ht="37.5" customHeight="1">
      <c r="A3" s="8" t="str">
        <f>IFERROR(__xludf.DUMMYFUNCTION("""COMPUTED_VALUE"""),"n016_christmas.anm2")</f>
        <v>n016_christmas.anm2</v>
      </c>
      <c r="B3" s="8">
        <f>IFERROR(__xludf.DUMMYFUNCTION("""COMPUTED_VALUE"""),16.0)</f>
        <v>16</v>
      </c>
      <c r="C3" s="8" t="str">
        <f>IFERROR(__xludf.DUMMYFUNCTION("""COMPUTED_VALUE"""),"none")</f>
        <v>none</v>
      </c>
      <c r="D3" s="8">
        <f>IFERROR(__xludf.DUMMYFUNCTION("""COMPUTED_VALUE"""),0.0)</f>
        <v>0</v>
      </c>
      <c r="E3" s="8" t="str">
        <f>IFERROR(__xludf.DUMMYFUNCTION("""COMPUTED_VALUE"""),"head5")</f>
        <v>head5</v>
      </c>
      <c r="F3" s="8" t="str">
        <f>IFERROR(__xludf.DUMMYFUNCTION("""COMPUTED_VALUE"""),"")</f>
        <v/>
      </c>
    </row>
    <row r="4" ht="37.5" customHeight="1">
      <c r="A4" s="8" t="str">
        <f>IFERROR(__xludf.DUMMYFUNCTION("""COMPUTED_VALUE"""),"n019_mawmark.anm2")</f>
        <v>n019_mawmark.anm2</v>
      </c>
      <c r="B4" s="8">
        <f>IFERROR(__xludf.DUMMYFUNCTION("""COMPUTED_VALUE"""),19.0)</f>
        <v>19</v>
      </c>
      <c r="C4" s="8" t="str">
        <f>IFERROR(__xludf.DUMMYFUNCTION("""COMPUTED_VALUE"""),"none")</f>
        <v>none</v>
      </c>
      <c r="D4" s="8">
        <f>IFERROR(__xludf.DUMMYFUNCTION("""COMPUTED_VALUE"""),2.0)</f>
        <v>2</v>
      </c>
      <c r="E4" s="8" t="str">
        <f>IFERROR(__xludf.DUMMYFUNCTION("""COMPUTED_VALUE"""),"head5")</f>
        <v>head5</v>
      </c>
      <c r="F4" s="8" t="str">
        <f>IFERROR(__xludf.DUMMYFUNCTION("""COMPUTED_VALUE"""),"")</f>
        <v/>
      </c>
    </row>
    <row r="5" ht="37.5" customHeight="1">
      <c r="A5" s="8" t="str">
        <f>IFERROR(__xludf.DUMMYFUNCTION("""COMPUTED_VALUE"""),"040x_mars_steam.anm2")</f>
        <v>040x_mars_steam.anm2</v>
      </c>
      <c r="B5" s="8">
        <f>IFERROR(__xludf.DUMMYFUNCTION("""COMPUTED_VALUE"""),58.0)</f>
        <v>58</v>
      </c>
      <c r="C5" s="8" t="str">
        <f>IFERROR(__xludf.DUMMYFUNCTION("""COMPUTED_VALUE"""),"none")</f>
        <v>none</v>
      </c>
      <c r="D5" s="8">
        <f>IFERROR(__xludf.DUMMYFUNCTION("""COMPUTED_VALUE"""),0.0)</f>
        <v>0</v>
      </c>
      <c r="E5" s="8" t="str">
        <f>IFERROR(__xludf.DUMMYFUNCTION("""COMPUTED_VALUE"""),"head5")</f>
        <v>head5</v>
      </c>
      <c r="F5" s="8" t="str">
        <f>IFERROR(__xludf.DUMMYFUNCTION("""COMPUTED_VALUE"""),"")</f>
        <v/>
      </c>
    </row>
    <row r="6" ht="37.5" customHeight="1">
      <c r="A6" s="8" t="str">
        <f>IFERROR(__xludf.DUMMYFUNCTION("""COMPUTED_VALUE"""),"663_toothandnail_statue.anm2")</f>
        <v>663_toothandnail_statue.anm2</v>
      </c>
      <c r="B6" s="8">
        <f>IFERROR(__xludf.DUMMYFUNCTION("""COMPUTED_VALUE"""),59.0)</f>
        <v>59</v>
      </c>
      <c r="C6" s="8" t="str">
        <f>IFERROR(__xludf.DUMMYFUNCTION("""COMPUTED_VALUE"""),"none")</f>
        <v>none</v>
      </c>
      <c r="D6" s="8">
        <f>IFERROR(__xludf.DUMMYFUNCTION("""COMPUTED_VALUE"""),51.0)</f>
        <v>51</v>
      </c>
      <c r="E6" s="8" t="str">
        <f>IFERROR(__xludf.DUMMYFUNCTION("""COMPUTED_VALUE"""),"head5")</f>
        <v>head5</v>
      </c>
      <c r="F6" s="8" t="str">
        <f>IFERROR(__xludf.DUMMYFUNCTION("""COMPUTED_VALUE"""),"")</f>
        <v/>
      </c>
    </row>
    <row r="7" ht="37.5" customHeight="1">
      <c r="A7" s="8" t="str">
        <f>IFERROR(__xludf.DUMMYFUNCTION("""COMPUTED_VALUE"""),"n_reverse_chariot.anm2")</f>
        <v>n_reverse_chariot.anm2</v>
      </c>
      <c r="B7" s="8">
        <f>IFERROR(__xludf.DUMMYFUNCTION("""COMPUTED_VALUE"""),63.0)</f>
        <v>63</v>
      </c>
      <c r="C7" s="8" t="str">
        <f>IFERROR(__xludf.DUMMYFUNCTION("""COMPUTED_VALUE"""),"none")</f>
        <v>none</v>
      </c>
      <c r="D7" s="8">
        <f>IFERROR(__xludf.DUMMYFUNCTION("""COMPUTED_VALUE"""),51.0)</f>
        <v>51</v>
      </c>
      <c r="E7" s="8" t="str">
        <f>IFERROR(__xludf.DUMMYFUNCTION("""COMPUTED_VALUE"""),"head5")</f>
        <v>head5</v>
      </c>
      <c r="F7" s="8" t="str">
        <f>IFERROR(__xludf.DUMMYFUNCTION("""COMPUTED_VALUE"""),"")</f>
        <v/>
      </c>
    </row>
    <row r="8" ht="37.5" customHeight="1">
      <c r="A8" s="8" t="str">
        <f>IFERROR(__xludf.DUMMYFUNCTION("""COMPUTED_VALUE"""),"n_reverse_chariot_alt.anm2")</f>
        <v>n_reverse_chariot_alt.anm2</v>
      </c>
      <c r="B8" s="8">
        <f>IFERROR(__xludf.DUMMYFUNCTION("""COMPUTED_VALUE"""),68.0)</f>
        <v>68</v>
      </c>
      <c r="C8" s="8" t="str">
        <f>IFERROR(__xludf.DUMMYFUNCTION("""COMPUTED_VALUE"""),"none")</f>
        <v>none</v>
      </c>
      <c r="D8" s="8">
        <f>IFERROR(__xludf.DUMMYFUNCTION("""COMPUTED_VALUE"""),51.0)</f>
        <v>51</v>
      </c>
      <c r="E8" s="8" t="str">
        <f>IFERROR(__xludf.DUMMYFUNCTION("""COMPUTED_VALUE"""),"head5")</f>
        <v>head5</v>
      </c>
      <c r="F8" s="8" t="str">
        <f>IFERROR(__xludf.DUMMYFUNCTION("""COMPUTED_VALUE"""),"")</f>
        <v/>
      </c>
    </row>
    <row r="9" ht="37.5" customHeight="1">
      <c r="A9" s="8" t="str">
        <f>IFERROR(__xludf.DUMMYFUNCTION("""COMPUTED_VALUE"""),"494_jacobsladder.anm2")</f>
        <v>494_jacobsladder.anm2</v>
      </c>
      <c r="B9" s="8">
        <f>IFERROR(__xludf.DUMMYFUNCTION("""COMPUTED_VALUE"""),494.0)</f>
        <v>494</v>
      </c>
      <c r="C9" s="8" t="str">
        <f>IFERROR(__xludf.DUMMYFUNCTION("""COMPUTED_VALUE"""),"passive")</f>
        <v>passive</v>
      </c>
      <c r="D9" s="8">
        <f>IFERROR(__xludf.DUMMYFUNCTION("""COMPUTED_VALUE"""),0.0)</f>
        <v>0</v>
      </c>
      <c r="E9" s="8" t="str">
        <f>IFERROR(__xludf.DUMMYFUNCTION("""COMPUTED_VALUE"""),"head5")</f>
        <v>head5</v>
      </c>
      <c r="F9" s="8" t="str">
        <f>IFERROR(__xludf.DUMMYFUNCTION("""COMPUTED_VALUE"""),"")</f>
        <v/>
      </c>
    </row>
  </sheetData>
  <customSheetViews>
    <customSheetView guid="{B07D8034-17A6-4979-AD0A-EDA5D4406C74}" filter="1" showAutoFilter="1">
      <autoFilter ref="$A$1:$F$9"/>
    </customSheetView>
  </customSheetView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5.13"/>
    <col customWidth="1" min="3" max="3" width="7.25"/>
    <col customWidth="1" min="4" max="4" width="9.38"/>
    <col customWidth="1" min="5" max="5" width="8.0"/>
    <col customWidth="1" min="6" max="6" width="25.13"/>
  </cols>
  <sheetData>
    <row r="1" ht="37.5" customHeight="1">
      <c r="A1" s="7" t="s">
        <v>0</v>
      </c>
      <c r="B1" s="7" t="s">
        <v>1</v>
      </c>
      <c r="C1" s="7" t="s">
        <v>2</v>
      </c>
      <c r="D1" s="7" t="s">
        <v>3</v>
      </c>
      <c r="E1" s="7" t="s">
        <v>4</v>
      </c>
      <c r="F1" s="7" t="s">
        <v>5</v>
      </c>
    </row>
    <row r="2" ht="37.5" customHeight="1">
      <c r="A2" s="8" t="str">
        <f>IFERROR(__xludf.DUMMYFUNCTION("FILTER('All Costumes'!A2:F645, 'All Costumes'!E2:E645=""top0"")"),"263_lordoftheflies.anm2")</f>
        <v>263_lordoftheflies.anm2</v>
      </c>
      <c r="B2" s="8">
        <f>IFERROR(__xludf.DUMMYFUNCTION("""COMPUTED_VALUE"""),3.0)</f>
        <v>3</v>
      </c>
      <c r="C2" s="8" t="str">
        <f>IFERROR(__xludf.DUMMYFUNCTION("""COMPUTED_VALUE"""),"none")</f>
        <v>none</v>
      </c>
      <c r="D2" s="8">
        <f>IFERROR(__xludf.DUMMYFUNCTION("""COMPUTED_VALUE"""),0.0)</f>
        <v>0</v>
      </c>
      <c r="E2" s="8" t="str">
        <f>IFERROR(__xludf.DUMMYFUNCTION("""COMPUTED_VALUE"""),"top0")</f>
        <v>top0</v>
      </c>
      <c r="F2" s="8" t="str">
        <f>IFERROR(__xludf.DUMMYFUNCTION("""COMPUTED_VALUE"""),"")</f>
        <v/>
      </c>
    </row>
    <row r="3" ht="37.5" customHeight="1">
      <c r="A3" s="8" t="str">
        <f>IFERROR(__xludf.DUMMYFUNCTION("""COMPUTED_VALUE"""),"n005_guppy.anm2")</f>
        <v>n005_guppy.anm2</v>
      </c>
      <c r="B3" s="8">
        <f>IFERROR(__xludf.DUMMYFUNCTION("""COMPUTED_VALUE"""),5.0)</f>
        <v>5</v>
      </c>
      <c r="C3" s="8" t="str">
        <f>IFERROR(__xludf.DUMMYFUNCTION("""COMPUTED_VALUE"""),"none")</f>
        <v>none</v>
      </c>
      <c r="D3" s="8">
        <f>IFERROR(__xludf.DUMMYFUNCTION("""COMPUTED_VALUE"""),0.0)</f>
        <v>0</v>
      </c>
      <c r="E3" s="8" t="str">
        <f>IFERROR(__xludf.DUMMYFUNCTION("""COMPUTED_VALUE"""),"top0")</f>
        <v>top0</v>
      </c>
      <c r="F3" s="8" t="str">
        <f>IFERROR(__xludf.DUMMYFUNCTION("""COMPUTED_VALUE"""),"")</f>
        <v/>
      </c>
    </row>
    <row r="4" ht="37.5" customHeight="1">
      <c r="A4" s="8" t="str">
        <f>IFERROR(__xludf.DUMMYFUNCTION("""COMPUTED_VALUE"""),"n018_empty vessel.anm2")</f>
        <v>n018_empty vessel.anm2</v>
      </c>
      <c r="B4" s="8">
        <f>IFERROR(__xludf.DUMMYFUNCTION("""COMPUTED_VALUE"""),18.0)</f>
        <v>18</v>
      </c>
      <c r="C4" s="8" t="str">
        <f>IFERROR(__xludf.DUMMYFUNCTION("""COMPUTED_VALUE"""),"none")</f>
        <v>none</v>
      </c>
      <c r="D4" s="8">
        <f>IFERROR(__xludf.DUMMYFUNCTION("""COMPUTED_VALUE"""),0.0)</f>
        <v>0</v>
      </c>
      <c r="E4" s="8" t="str">
        <f>IFERROR(__xludf.DUMMYFUNCTION("""COMPUTED_VALUE"""),"top0")</f>
        <v>top0</v>
      </c>
      <c r="F4" s="8" t="str">
        <f>IFERROR(__xludf.DUMMYFUNCTION("""COMPUTED_VALUE"""),"")</f>
        <v/>
      </c>
    </row>
    <row r="5" ht="37.5" customHeight="1">
      <c r="A5" s="8" t="str">
        <f>IFERROR(__xludf.DUMMYFUNCTION("""COMPUTED_VALUE"""),"020_transcendence.anm2")</f>
        <v>020_transcendence.anm2</v>
      </c>
      <c r="B5" s="8">
        <f>IFERROR(__xludf.DUMMYFUNCTION("""COMPUTED_VALUE"""),20.0)</f>
        <v>20</v>
      </c>
      <c r="C5" s="8" t="str">
        <f>IFERROR(__xludf.DUMMYFUNCTION("""COMPUTED_VALUE"""),"passive")</f>
        <v>passive</v>
      </c>
      <c r="D5" s="8">
        <f>IFERROR(__xludf.DUMMYFUNCTION("""COMPUTED_VALUE"""),100.0)</f>
        <v>100</v>
      </c>
      <c r="E5" s="8" t="str">
        <f>IFERROR(__xludf.DUMMYFUNCTION("""COMPUTED_VALUE"""),"top0")</f>
        <v>top0</v>
      </c>
      <c r="F5" s="8" t="str">
        <f>IFERROR(__xludf.DUMMYFUNCTION("""COMPUTED_VALUE"""),"")</f>
        <v/>
      </c>
    </row>
    <row r="6" ht="37.5" customHeight="1">
      <c r="A6" s="8" t="str">
        <f>IFERROR(__xludf.DUMMYFUNCTION("""COMPUTED_VALUE"""),"n021_transformation_angel.anm2")</f>
        <v>n021_transformation_angel.anm2</v>
      </c>
      <c r="B6" s="8">
        <f>IFERROR(__xludf.DUMMYFUNCTION("""COMPUTED_VALUE"""),21.0)</f>
        <v>21</v>
      </c>
      <c r="C6" s="8" t="str">
        <f>IFERROR(__xludf.DUMMYFUNCTION("""COMPUTED_VALUE"""),"none")</f>
        <v>none</v>
      </c>
      <c r="D6" s="8">
        <f>IFERROR(__xludf.DUMMYFUNCTION("""COMPUTED_VALUE"""),19.0)</f>
        <v>19</v>
      </c>
      <c r="E6" s="8" t="str">
        <f>IFERROR(__xludf.DUMMYFUNCTION("""COMPUTED_VALUE"""),"top0")</f>
        <v>top0</v>
      </c>
      <c r="F6" s="8" t="str">
        <f>IFERROR(__xludf.DUMMYFUNCTION("""COMPUTED_VALUE"""),"")</f>
        <v/>
      </c>
    </row>
    <row r="7" ht="37.5" customHeight="1">
      <c r="A7" s="8" t="str">
        <f>IFERROR(__xludf.DUMMYFUNCTION("""COMPUTED_VALUE"""),"n026_transformation_evilangel.anm2")</f>
        <v>n026_transformation_evilangel.anm2</v>
      </c>
      <c r="B7" s="8">
        <f>IFERROR(__xludf.DUMMYFUNCTION("""COMPUTED_VALUE"""),26.0)</f>
        <v>26</v>
      </c>
      <c r="C7" s="8" t="str">
        <f>IFERROR(__xludf.DUMMYFUNCTION("""COMPUTED_VALUE"""),"none")</f>
        <v>none</v>
      </c>
      <c r="D7" s="8">
        <f>IFERROR(__xludf.DUMMYFUNCTION("""COMPUTED_VALUE"""),19.0)</f>
        <v>19</v>
      </c>
      <c r="E7" s="8" t="str">
        <f>IFERROR(__xludf.DUMMYFUNCTION("""COMPUTED_VALUE"""),"top0")</f>
        <v>top0</v>
      </c>
      <c r="F7" s="8" t="str">
        <f>IFERROR(__xludf.DUMMYFUNCTION("""COMPUTED_VALUE"""),"")</f>
        <v/>
      </c>
    </row>
    <row r="8" ht="37.5" customHeight="1">
      <c r="A8" s="8" t="str">
        <f>IFERROR(__xludf.DUMMYFUNCTION("""COMPUTED_VALUE"""),"t118_batwing.anm2")</f>
        <v>t118_batwing.anm2</v>
      </c>
      <c r="B8" s="8">
        <f>IFERROR(__xludf.DUMMYFUNCTION("""COMPUTED_VALUE"""),40.0)</f>
        <v>40</v>
      </c>
      <c r="C8" s="8" t="str">
        <f>IFERROR(__xludf.DUMMYFUNCTION("""COMPUTED_VALUE"""),"none")</f>
        <v>none</v>
      </c>
      <c r="D8" s="8">
        <f>IFERROR(__xludf.DUMMYFUNCTION("""COMPUTED_VALUE"""),0.0)</f>
        <v>0</v>
      </c>
      <c r="E8" s="8" t="str">
        <f>IFERROR(__xludf.DUMMYFUNCTION("""COMPUTED_VALUE"""),"top0")</f>
        <v>top0</v>
      </c>
      <c r="F8" s="8" t="str">
        <f>IFERROR(__xludf.DUMMYFUNCTION("""COMPUTED_VALUE"""),"")</f>
        <v/>
      </c>
    </row>
    <row r="9" ht="37.5" customHeight="1">
      <c r="A9" s="8" t="str">
        <f>IFERROR(__xludf.DUMMYFUNCTION("""COMPUTED_VALUE"""),"058_book of shadows.anm2")</f>
        <v>058_book of shadows.anm2</v>
      </c>
      <c r="B9" s="8">
        <f>IFERROR(__xludf.DUMMYFUNCTION("""COMPUTED_VALUE"""),58.0)</f>
        <v>58</v>
      </c>
      <c r="C9" s="8" t="str">
        <f>IFERROR(__xludf.DUMMYFUNCTION("""COMPUTED_VALUE"""),"active")</f>
        <v>active</v>
      </c>
      <c r="D9" s="8">
        <f>IFERROR(__xludf.DUMMYFUNCTION("""COMPUTED_VALUE"""),101.0)</f>
        <v>101</v>
      </c>
      <c r="E9" s="8" t="str">
        <f>IFERROR(__xludf.DUMMYFUNCTION("""COMPUTED_VALUE"""),"top0")</f>
        <v>top0</v>
      </c>
      <c r="F9" s="8" t="str">
        <f>IFERROR(__xludf.DUMMYFUNCTION("""COMPUTED_VALUE"""),"")</f>
        <v/>
      </c>
    </row>
    <row r="10" ht="37.5" customHeight="1">
      <c r="A10" s="8" t="str">
        <f>IFERROR(__xludf.DUMMYFUNCTION("""COMPUTED_VALUE"""),"n_jupiter_body_angel.anm2")</f>
        <v>n_jupiter_body_angel.anm2</v>
      </c>
      <c r="B10" s="8">
        <f>IFERROR(__xludf.DUMMYFUNCTION("""COMPUTED_VALUE"""),76.0)</f>
        <v>76</v>
      </c>
      <c r="C10" s="8" t="str">
        <f>IFERROR(__xludf.DUMMYFUNCTION("""COMPUTED_VALUE"""),"none")</f>
        <v>none</v>
      </c>
      <c r="D10" s="8">
        <f>IFERROR(__xludf.DUMMYFUNCTION("""COMPUTED_VALUE"""),101.0)</f>
        <v>101</v>
      </c>
      <c r="E10" s="8" t="str">
        <f>IFERROR(__xludf.DUMMYFUNCTION("""COMPUTED_VALUE"""),"top0")</f>
        <v>top0</v>
      </c>
      <c r="F10" s="8" t="str">
        <f>IFERROR(__xludf.DUMMYFUNCTION("""COMPUTED_VALUE"""),"")</f>
        <v/>
      </c>
    </row>
    <row r="11" ht="37.5" customHeight="1">
      <c r="A11" s="8" t="str">
        <f>IFERROR(__xludf.DUMMYFUNCTION("""COMPUTED_VALUE"""),"n_jupiter_body_pony.anm2")</f>
        <v>n_jupiter_body_pony.anm2</v>
      </c>
      <c r="B11" s="8">
        <f>IFERROR(__xludf.DUMMYFUNCTION("""COMPUTED_VALUE"""),77.0)</f>
        <v>77</v>
      </c>
      <c r="C11" s="8" t="str">
        <f>IFERROR(__xludf.DUMMYFUNCTION("""COMPUTED_VALUE"""),"none")</f>
        <v>none</v>
      </c>
      <c r="D11" s="8">
        <f>IFERROR(__xludf.DUMMYFUNCTION("""COMPUTED_VALUE"""),101.0)</f>
        <v>101</v>
      </c>
      <c r="E11" s="8" t="str">
        <f>IFERROR(__xludf.DUMMYFUNCTION("""COMPUTED_VALUE"""),"top0")</f>
        <v>top0</v>
      </c>
      <c r="F11" s="8" t="str">
        <f>IFERROR(__xludf.DUMMYFUNCTION("""COMPUTED_VALUE"""),"")</f>
        <v/>
      </c>
    </row>
    <row r="12" ht="37.5" customHeight="1">
      <c r="A12" s="8" t="str">
        <f>IFERROR(__xludf.DUMMYFUNCTION("""COMPUTED_VALUE"""),"n_jupiter_body_whitepony.anm2")</f>
        <v>n_jupiter_body_whitepony.anm2</v>
      </c>
      <c r="B12" s="8">
        <f>IFERROR(__xludf.DUMMYFUNCTION("""COMPUTED_VALUE"""),78.0)</f>
        <v>78</v>
      </c>
      <c r="C12" s="8" t="str">
        <f>IFERROR(__xludf.DUMMYFUNCTION("""COMPUTED_VALUE"""),"none")</f>
        <v>none</v>
      </c>
      <c r="D12" s="8">
        <f>IFERROR(__xludf.DUMMYFUNCTION("""COMPUTED_VALUE"""),101.0)</f>
        <v>101</v>
      </c>
      <c r="E12" s="8" t="str">
        <f>IFERROR(__xludf.DUMMYFUNCTION("""COMPUTED_VALUE"""),"top0")</f>
        <v>top0</v>
      </c>
      <c r="F12" s="8" t="str">
        <f>IFERROR(__xludf.DUMMYFUNCTION("""COMPUTED_VALUE"""),"")</f>
        <v/>
      </c>
    </row>
    <row r="13" ht="37.5" customHeight="1">
      <c r="A13" s="8" t="str">
        <f>IFERROR(__xludf.DUMMYFUNCTION("""COMPUTED_VALUE"""),"082_lord of the pit.anm2")</f>
        <v>082_lord of the pit.anm2</v>
      </c>
      <c r="B13" s="8">
        <f>IFERROR(__xludf.DUMMYFUNCTION("""COMPUTED_VALUE"""),82.0)</f>
        <v>82</v>
      </c>
      <c r="C13" s="8" t="str">
        <f>IFERROR(__xludf.DUMMYFUNCTION("""COMPUTED_VALUE"""),"passive")</f>
        <v>passive</v>
      </c>
      <c r="D13" s="8">
        <f>IFERROR(__xludf.DUMMYFUNCTION("""COMPUTED_VALUE"""),0.0)</f>
        <v>0</v>
      </c>
      <c r="E13" s="8" t="str">
        <f>IFERROR(__xludf.DUMMYFUNCTION("""COMPUTED_VALUE"""),"top0")</f>
        <v>top0</v>
      </c>
      <c r="F13" s="8" t="str">
        <f>IFERROR(__xludf.DUMMYFUNCTION("""COMPUTED_VALUE"""),"")</f>
        <v/>
      </c>
    </row>
    <row r="14" ht="37.5" customHeight="1">
      <c r="A14" s="8" t="str">
        <f>IFERROR(__xludf.DUMMYFUNCTION("""COMPUTED_VALUE"""),"n_esau_jr.anm2")</f>
        <v>n_esau_jr.anm2</v>
      </c>
      <c r="B14" s="8">
        <f>IFERROR(__xludf.DUMMYFUNCTION("""COMPUTED_VALUE"""),100.0)</f>
        <v>100</v>
      </c>
      <c r="C14" s="8" t="str">
        <f>IFERROR(__xludf.DUMMYFUNCTION("""COMPUTED_VALUE"""),"none")</f>
        <v>none</v>
      </c>
      <c r="D14" s="8">
        <f>IFERROR(__xludf.DUMMYFUNCTION("""COMPUTED_VALUE"""),0.0)</f>
        <v>0</v>
      </c>
      <c r="E14" s="8" t="str">
        <f>IFERROR(__xludf.DUMMYFUNCTION("""COMPUTED_VALUE"""),"top0")</f>
        <v>top0</v>
      </c>
      <c r="F14" s="8" t="str">
        <f>IFERROR(__xludf.DUMMYFUNCTION("""COMPUTED_VALUE"""),"")</f>
        <v/>
      </c>
    </row>
    <row r="15" ht="37.5" customHeight="1">
      <c r="A15" s="8" t="str">
        <f>IFERROR(__xludf.DUMMYFUNCTION("""COMPUTED_VALUE"""),"n_lost_curse.anm2")</f>
        <v>n_lost_curse.anm2</v>
      </c>
      <c r="B15" s="8">
        <f>IFERROR(__xludf.DUMMYFUNCTION("""COMPUTED_VALUE"""),112.0)</f>
        <v>112</v>
      </c>
      <c r="C15" s="8" t="str">
        <f>IFERROR(__xludf.DUMMYFUNCTION("""COMPUTED_VALUE"""),"none")</f>
        <v>none</v>
      </c>
      <c r="D15" s="8">
        <f>IFERROR(__xludf.DUMMYFUNCTION("""COMPUTED_VALUE"""),99.0)</f>
        <v>99</v>
      </c>
      <c r="E15" s="8" t="str">
        <f>IFERROR(__xludf.DUMMYFUNCTION("""COMPUTED_VALUE"""),"top0")</f>
        <v>top0</v>
      </c>
      <c r="F15" s="8" t="str">
        <f>IFERROR(__xludf.DUMMYFUNCTION("""COMPUTED_VALUE"""),"")</f>
        <v/>
      </c>
    </row>
    <row r="16" ht="37.5" customHeight="1">
      <c r="A16" s="8" t="str">
        <f>IFERROR(__xludf.DUMMYFUNCTION("""COMPUTED_VALUE"""),"130_pony.anm2")</f>
        <v>130_pony.anm2</v>
      </c>
      <c r="B16" s="8">
        <f>IFERROR(__xludf.DUMMYFUNCTION("""COMPUTED_VALUE"""),130.0)</f>
        <v>130</v>
      </c>
      <c r="C16" s="8" t="str">
        <f>IFERROR(__xludf.DUMMYFUNCTION("""COMPUTED_VALUE"""),"passive")</f>
        <v>passive</v>
      </c>
      <c r="D16" s="8">
        <f>IFERROR(__xludf.DUMMYFUNCTION("""COMPUTED_VALUE"""),23.0)</f>
        <v>23</v>
      </c>
      <c r="E16" s="8" t="str">
        <f>IFERROR(__xludf.DUMMYFUNCTION("""COMPUTED_VALUE"""),"top0")</f>
        <v>top0</v>
      </c>
      <c r="F16" s="8" t="str">
        <f>IFERROR(__xludf.DUMMYFUNCTION("""COMPUTED_VALUE"""),"")</f>
        <v/>
      </c>
    </row>
    <row r="17" ht="37.5" customHeight="1">
      <c r="A17" s="8" t="str">
        <f>IFERROR(__xludf.DUMMYFUNCTION("""COMPUTED_VALUE"""),"159_spirit of the night.anm2")</f>
        <v>159_spirit of the night.anm2</v>
      </c>
      <c r="B17" s="8">
        <f>IFERROR(__xludf.DUMMYFUNCTION("""COMPUTED_VALUE"""),159.0)</f>
        <v>159</v>
      </c>
      <c r="C17" s="8" t="str">
        <f>IFERROR(__xludf.DUMMYFUNCTION("""COMPUTED_VALUE"""),"passive")</f>
        <v>passive</v>
      </c>
      <c r="D17" s="8">
        <f>IFERROR(__xludf.DUMMYFUNCTION("""COMPUTED_VALUE"""),0.0)</f>
        <v>0</v>
      </c>
      <c r="E17" s="8" t="str">
        <f>IFERROR(__xludf.DUMMYFUNCTION("""COMPUTED_VALUE"""),"top0")</f>
        <v>top0</v>
      </c>
      <c r="F17" s="8" t="str">
        <f>IFERROR(__xludf.DUMMYFUNCTION("""COMPUTED_VALUE"""),"")</f>
        <v/>
      </c>
    </row>
    <row r="18" ht="37.5" customHeight="1">
      <c r="A18" s="8" t="str">
        <f>IFERROR(__xludf.DUMMYFUNCTION("""COMPUTED_VALUE"""),"character_008_azazelhead.anm2")</f>
        <v>character_008_azazelhead.anm2</v>
      </c>
      <c r="B18" s="8">
        <f>IFERROR(__xludf.DUMMYFUNCTION("""COMPUTED_VALUE"""),162.0)</f>
        <v>162</v>
      </c>
      <c r="C18" s="8" t="str">
        <f>IFERROR(__xludf.DUMMYFUNCTION("""COMPUTED_VALUE"""),"trinket")</f>
        <v>trinket</v>
      </c>
      <c r="D18" s="8">
        <f>IFERROR(__xludf.DUMMYFUNCTION("""COMPUTED_VALUE"""),23.0)</f>
        <v>23</v>
      </c>
      <c r="E18" s="8" t="str">
        <f>IFERROR(__xludf.DUMMYFUNCTION("""COMPUTED_VALUE"""),"top0")</f>
        <v>top0</v>
      </c>
      <c r="F18" s="8" t="str">
        <f>IFERROR(__xludf.DUMMYFUNCTION("""COMPUTED_VALUE"""),"")</f>
        <v/>
      </c>
    </row>
    <row r="19" ht="37.5" customHeight="1">
      <c r="A19" s="8" t="str">
        <f>IFERROR(__xludf.DUMMYFUNCTION("""COMPUTED_VALUE"""),"181_white pony.anm2")</f>
        <v>181_white pony.anm2</v>
      </c>
      <c r="B19" s="8">
        <f>IFERROR(__xludf.DUMMYFUNCTION("""COMPUTED_VALUE"""),181.0)</f>
        <v>181</v>
      </c>
      <c r="C19" s="8" t="str">
        <f>IFERROR(__xludf.DUMMYFUNCTION("""COMPUTED_VALUE"""),"passive")</f>
        <v>passive</v>
      </c>
      <c r="D19" s="8">
        <f>IFERROR(__xludf.DUMMYFUNCTION("""COMPUTED_VALUE"""),23.0)</f>
        <v>23</v>
      </c>
      <c r="E19" s="8" t="str">
        <f>IFERROR(__xludf.DUMMYFUNCTION("""COMPUTED_VALUE"""),"top0")</f>
        <v>top0</v>
      </c>
      <c r="F19" s="8" t="str">
        <f>IFERROR(__xludf.DUMMYFUNCTION("""COMPUTED_VALUE"""),"")</f>
        <v/>
      </c>
    </row>
    <row r="20" ht="37.5" customHeight="1">
      <c r="A20" s="8" t="str">
        <f>IFERROR(__xludf.DUMMYFUNCTION("""COMPUTED_VALUE"""),"184_holy grail.anm2")</f>
        <v>184_holy grail.anm2</v>
      </c>
      <c r="B20" s="8">
        <f>IFERROR(__xludf.DUMMYFUNCTION("""COMPUTED_VALUE"""),184.0)</f>
        <v>184</v>
      </c>
      <c r="C20" s="8" t="str">
        <f>IFERROR(__xludf.DUMMYFUNCTION("""COMPUTED_VALUE"""),"passive")</f>
        <v>passive</v>
      </c>
      <c r="D20" s="8">
        <f>IFERROR(__xludf.DUMMYFUNCTION("""COMPUTED_VALUE"""),0.0)</f>
        <v>0</v>
      </c>
      <c r="E20" s="8" t="str">
        <f>IFERROR(__xludf.DUMMYFUNCTION("""COMPUTED_VALUE"""),"top0")</f>
        <v>top0</v>
      </c>
      <c r="F20" s="8" t="str">
        <f>IFERROR(__xludf.DUMMYFUNCTION("""COMPUTED_VALUE"""),"")</f>
        <v/>
      </c>
    </row>
    <row r="21" ht="37.5" customHeight="1">
      <c r="A21" s="8" t="str">
        <f>IFERROR(__xludf.DUMMYFUNCTION("""COMPUTED_VALUE"""),"185_dead dove.anm2")</f>
        <v>185_dead dove.anm2</v>
      </c>
      <c r="B21" s="8">
        <f>IFERROR(__xludf.DUMMYFUNCTION("""COMPUTED_VALUE"""),185.0)</f>
        <v>185</v>
      </c>
      <c r="C21" s="8" t="str">
        <f>IFERROR(__xludf.DUMMYFUNCTION("""COMPUTED_VALUE"""),"passive")</f>
        <v>passive</v>
      </c>
      <c r="D21" s="8">
        <f>IFERROR(__xludf.DUMMYFUNCTION("""COMPUTED_VALUE"""),0.0)</f>
        <v>0</v>
      </c>
      <c r="E21" s="8" t="str">
        <f>IFERROR(__xludf.DUMMYFUNCTION("""COMPUTED_VALUE"""),"top0")</f>
        <v>top0</v>
      </c>
      <c r="F21" s="8" t="str">
        <f>IFERROR(__xludf.DUMMYFUNCTION("""COMPUTED_VALUE"""),"")</f>
        <v/>
      </c>
    </row>
    <row r="22" ht="37.5" customHeight="1">
      <c r="A22" s="8" t="str">
        <f>IFERROR(__xludf.DUMMYFUNCTION("""COMPUTED_VALUE"""),"179_fate.anm2")</f>
        <v>179_fate.anm2</v>
      </c>
      <c r="B22" s="8">
        <f>IFERROR(__xludf.DUMMYFUNCTION("""COMPUTED_VALUE"""),633.0)</f>
        <v>633</v>
      </c>
      <c r="C22" s="8" t="str">
        <f>IFERROR(__xludf.DUMMYFUNCTION("""COMPUTED_VALUE"""),"passive")</f>
        <v>passive</v>
      </c>
      <c r="D22" s="8">
        <f>IFERROR(__xludf.DUMMYFUNCTION("""COMPUTED_VALUE"""),0.0)</f>
        <v>0</v>
      </c>
      <c r="E22" s="8" t="str">
        <f>IFERROR(__xludf.DUMMYFUNCTION("""COMPUTED_VALUE"""),"top0")</f>
        <v>top0</v>
      </c>
      <c r="F22" s="8" t="str">
        <f>IFERROR(__xludf.DUMMYFUNCTION("""COMPUTED_VALUE"""),"")</f>
        <v/>
      </c>
    </row>
    <row r="23" ht="37.5" customHeight="1">
      <c r="A23" s="8" t="str">
        <f>IFERROR(__xludf.DUMMYFUNCTION("""COMPUTED_VALUE"""),"090x_revelation.anm2")</f>
        <v>090x_revelation.anm2</v>
      </c>
      <c r="B23" s="8">
        <f>IFERROR(__xludf.DUMMYFUNCTION("""COMPUTED_VALUE"""),643.0)</f>
        <v>643</v>
      </c>
      <c r="C23" s="8" t="str">
        <f>IFERROR(__xludf.DUMMYFUNCTION("""COMPUTED_VALUE"""),"passive")</f>
        <v>passive</v>
      </c>
      <c r="D23" s="8">
        <f>IFERROR(__xludf.DUMMYFUNCTION("""COMPUTED_VALUE"""),0.0)</f>
        <v>0</v>
      </c>
      <c r="E23" s="8" t="str">
        <f>IFERROR(__xludf.DUMMYFUNCTION("""COMPUTED_VALUE"""),"top0")</f>
        <v>top0</v>
      </c>
      <c r="F23" s="8" t="str">
        <f>IFERROR(__xludf.DUMMYFUNCTION("""COMPUTED_VALUE"""),"")</f>
        <v/>
      </c>
    </row>
    <row r="24" ht="37.5" customHeight="1">
      <c r="A24" s="8" t="str">
        <f>IFERROR(__xludf.DUMMYFUNCTION("""COMPUTED_VALUE"""),"677_astralprojection.anm2")</f>
        <v>677_astralprojection.anm2</v>
      </c>
      <c r="B24" s="8">
        <f>IFERROR(__xludf.DUMMYFUNCTION("""COMPUTED_VALUE"""),677.0)</f>
        <v>677</v>
      </c>
      <c r="C24" s="8" t="str">
        <f>IFERROR(__xludf.DUMMYFUNCTION("""COMPUTED_VALUE"""),"passive")</f>
        <v>passive</v>
      </c>
      <c r="D24" s="8">
        <f>IFERROR(__xludf.DUMMYFUNCTION("""COMPUTED_VALUE"""),1.0)</f>
        <v>1</v>
      </c>
      <c r="E24" s="8" t="str">
        <f>IFERROR(__xludf.DUMMYFUNCTION("""COMPUTED_VALUE"""),"top0")</f>
        <v>top0</v>
      </c>
      <c r="F24" s="8" t="str">
        <f>IFERROR(__xludf.DUMMYFUNCTION("""COMPUTED_VALUE"""),"")</f>
        <v/>
      </c>
    </row>
  </sheetData>
  <customSheetViews>
    <customSheetView guid="{B07D8034-17A6-4979-AD0A-EDA5D4406C74}" filter="1" showAutoFilter="1">
      <autoFilter ref="$A$1:$F$24"/>
    </customSheetView>
  </customSheetViews>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5.13"/>
    <col customWidth="1" min="3" max="3" width="7.25"/>
    <col customWidth="1" min="4" max="4" width="9.38"/>
    <col customWidth="1" min="5" max="5" width="8.0"/>
    <col customWidth="1" min="6" max="6" width="25.13"/>
  </cols>
  <sheetData>
    <row r="1" ht="37.5" customHeight="1">
      <c r="A1" s="7" t="s">
        <v>0</v>
      </c>
      <c r="B1" s="7" t="s">
        <v>1</v>
      </c>
      <c r="C1" s="7" t="s">
        <v>2</v>
      </c>
      <c r="D1" s="7" t="s">
        <v>3</v>
      </c>
      <c r="E1" s="7" t="s">
        <v>4</v>
      </c>
      <c r="F1" s="7" t="s">
        <v>5</v>
      </c>
    </row>
    <row r="2" ht="37.5" customHeight="1">
      <c r="A2" s="8" t="str">
        <f>IFERROR(__xludf.DUMMYFUNCTION("FILTER('All Costumes'!A2:F645, ('All Costumes'!E2:E645=""back"") + ('All Costumes'!E2:E645=""extra""))"),"038x_venus.anm2")</f>
        <v>038x_venus.anm2</v>
      </c>
      <c r="B2" s="8">
        <f>IFERROR(__xludf.DUMMYFUNCTION("""COMPUTED_VALUE"""),591.0)</f>
        <v>591</v>
      </c>
      <c r="C2" s="8" t="str">
        <f>IFERROR(__xludf.DUMMYFUNCTION("""COMPUTED_VALUE"""),"passive")</f>
        <v>passive</v>
      </c>
      <c r="D2" s="8">
        <f>IFERROR(__xludf.DUMMYFUNCTION("""COMPUTED_VALUE"""),20.0)</f>
        <v>20</v>
      </c>
      <c r="E2" s="8" t="str">
        <f>IFERROR(__xludf.DUMMYFUNCTION("""COMPUTED_VALUE"""),"back")</f>
        <v>back</v>
      </c>
      <c r="F2" s="8" t="str">
        <f>IFERROR(__xludf.DUMMYFUNCTION("""COMPUTED_VALUE"""),"")</f>
        <v/>
      </c>
    </row>
    <row r="3" ht="37.5" customHeight="1">
      <c r="A3" s="8" t="str">
        <f>IFERROR(__xludf.DUMMYFUNCTION("""COMPUTED_VALUE"""),"big_isaac.anm2")</f>
        <v>big_isaac.anm2</v>
      </c>
      <c r="B3" s="8">
        <f>IFERROR(__xludf.DUMMYFUNCTION("""COMPUTED_VALUE"""),625.0)</f>
        <v>625</v>
      </c>
      <c r="C3" s="8" t="str">
        <f>IFERROR(__xludf.DUMMYFUNCTION("""COMPUTED_VALUE"""),"active")</f>
        <v>active</v>
      </c>
      <c r="D3" s="8">
        <f>IFERROR(__xludf.DUMMYFUNCTION("""COMPUTED_VALUE"""),1000.0)</f>
        <v>1000</v>
      </c>
      <c r="E3" s="8" t="str">
        <f>IFERROR(__xludf.DUMMYFUNCTION("""COMPUTED_VALUE"""),"extra")</f>
        <v>extra</v>
      </c>
      <c r="F3" s="8" t="str">
        <f>IFERROR(__xludf.DUMMYFUNCTION("""COMPUTED_VALUE"""),"")</f>
        <v/>
      </c>
      <c r="H3" s="11"/>
    </row>
  </sheetData>
  <customSheetViews>
    <customSheetView guid="{B07D8034-17A6-4979-AD0A-EDA5D4406C74}" filter="1" showAutoFilter="1">
      <autoFilter ref="$A$1:$F$3"/>
    </customSheetView>
  </customSheetViews>
  <drawing r:id="rId1"/>
  <tableParts count="1">
    <tablePart r:id="rId3"/>
  </tableParts>
</worksheet>
</file>